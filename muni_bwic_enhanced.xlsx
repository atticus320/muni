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WIC Pricing Model" sheetId="1" state="visible" r:id="rId1"/>
    <sheet xmlns:r="http://schemas.openxmlformats.org/officeDocument/2006/relationships" name="Assumptions &amp; Guardr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"/>
    <numFmt numFmtId="165" formatCode="0.000%"/>
    <numFmt numFmtId="166" formatCode="mm/dd/yyyy"/>
    <numFmt numFmtId="167" formatCode="0.000"/>
    <numFmt numFmtId="168" formatCode="yyyy-mm-dd h:mm:ss"/>
    <numFmt numFmtId="169" formatCode="0.0000%"/>
    <numFmt numFmtId="170" formatCode="$#,##0"/>
  </numFmts>
  <fonts count="21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  <u val="single"/>
    </font>
    <font>
      <i val="1"/>
      <color rgb="00C00000"/>
      <sz val="9"/>
    </font>
    <font>
      <b val="1"/>
      <color rgb="00FFFFFF"/>
      <sz val="11"/>
    </font>
    <font>
      <b val="1"/>
      <sz val="10"/>
    </font>
    <font>
      <name val="Courier New"/>
      <color rgb="00FF6600"/>
      <sz val="9"/>
    </font>
    <font>
      <i val="1"/>
      <sz val="9"/>
    </font>
    <font>
      <b val="1"/>
      <color rgb="00FFFFFF"/>
      <sz val="12"/>
    </font>
    <font>
      <b val="1"/>
      <color rgb="00C00000"/>
      <sz val="12"/>
    </font>
    <font>
      <b val="1"/>
      <sz val="12"/>
    </font>
    <font>
      <b val="1"/>
      <i val="1"/>
      <color rgb="00C00000"/>
      <sz val="9"/>
    </font>
    <font>
      <b val="1"/>
    </font>
    <font>
      <i val="1"/>
      <color rgb="00FF6600"/>
    </font>
    <font>
      <b val="1"/>
      <color rgb="00C00000"/>
    </font>
    <font>
      <i val="1"/>
      <color rgb="00666666"/>
      <sz val="9"/>
    </font>
    <font>
      <b val="1"/>
      <sz val="11"/>
    </font>
    <font>
      <b val="1"/>
      <i val="1"/>
      <sz val="9"/>
    </font>
    <font>
      <sz val="10"/>
    </font>
    <font>
      <b val="1"/>
      <sz val="9"/>
    </font>
    <font>
      <sz val="9"/>
    </font>
  </fonts>
  <fills count="13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2E5C8A"/>
        <bgColor rgb="002E5C8A"/>
      </patternFill>
    </fill>
    <fill>
      <patternFill patternType="solid">
        <fgColor rgb="00FFFF00"/>
        <bgColor rgb="00FFFF00"/>
      </patternFill>
    </fill>
    <fill>
      <patternFill patternType="solid">
        <fgColor rgb="00E7E6E6"/>
        <bgColor rgb="00E7E6E6"/>
      </patternFill>
    </fill>
    <fill>
      <patternFill patternType="solid">
        <fgColor rgb="00B4C7E7"/>
        <bgColor rgb="00B4C7E7"/>
      </patternFill>
    </fill>
    <fill>
      <patternFill patternType="solid">
        <fgColor rgb="00C6E0B4"/>
        <bgColor rgb="00C6E0B4"/>
      </patternFill>
    </fill>
    <fill>
      <patternFill patternType="solid">
        <fgColor rgb="00375623"/>
        <bgColor rgb="00375623"/>
      </patternFill>
    </fill>
    <fill>
      <patternFill patternType="solid">
        <fgColor rgb="00FF6600"/>
        <bgColor rgb="00FF66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7" fillId="0" borderId="1" pivotButton="0" quotePrefix="0" xfId="0"/>
    <xf numFmtId="0" fontId="8" fillId="6" borderId="1" applyAlignment="1" pivotButton="0" quotePrefix="0" xfId="0">
      <alignment horizontal="left" vertical="center"/>
    </xf>
    <xf numFmtId="0" fontId="4" fillId="12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/>
    </xf>
    <xf numFmtId="0" fontId="10" fillId="7" borderId="1" applyAlignment="1" pivotButton="0" quotePrefix="0" xfId="0">
      <alignment horizontal="right" vertical="center"/>
    </xf>
    <xf numFmtId="0" fontId="11" fillId="0" borderId="1" pivotButton="0" quotePrefix="0" xfId="0"/>
    <xf numFmtId="0" fontId="19" fillId="0" borderId="0" applyAlignment="1" pivotButton="0" quotePrefix="0" xfId="0">
      <alignment horizontal="left" vertical="top" wrapText="1"/>
    </xf>
    <xf numFmtId="0" fontId="20" fillId="0" borderId="0" applyAlignment="1" pivotButton="0" quotePrefix="0" xfId="0">
      <alignment horizontal="left" vertical="top" wrapText="1"/>
    </xf>
    <xf numFmtId="0" fontId="12" fillId="0" borderId="1" pivotButton="0" quotePrefix="0" xfId="0"/>
    <xf numFmtId="0" fontId="13" fillId="5" borderId="1" applyAlignment="1" pivotButton="0" quotePrefix="0" xfId="0">
      <alignment horizontal="right" vertical="center"/>
    </xf>
    <xf numFmtId="165" fontId="13" fillId="5" borderId="1" applyAlignment="1" pivotButton="0" quotePrefix="0" xfId="0">
      <alignment horizontal="right" vertical="center"/>
    </xf>
    <xf numFmtId="166" fontId="13" fillId="5" borderId="1" applyAlignment="1" pivotButton="0" quotePrefix="0" xfId="0">
      <alignment horizontal="right" vertical="center"/>
    </xf>
    <xf numFmtId="167" fontId="13" fillId="5" borderId="1" applyAlignment="1" pivotButton="0" quotePrefix="0" xfId="0">
      <alignment horizontal="right" vertical="center"/>
    </xf>
    <xf numFmtId="3" fontId="13" fillId="5" borderId="1" applyAlignment="1" pivotButton="0" quotePrefix="0" xfId="0">
      <alignment horizontal="right" vertical="center"/>
    </xf>
    <xf numFmtId="0" fontId="14" fillId="0" borderId="1" pivotButton="0" quotePrefix="0" xfId="0"/>
    <xf numFmtId="3" fontId="0" fillId="4" borderId="1" applyAlignment="1" pivotButton="0" quotePrefix="0" xfId="0">
      <alignment horizontal="right" vertical="center"/>
    </xf>
    <xf numFmtId="166" fontId="0" fillId="4" borderId="1" applyAlignment="1" pivotButton="0" quotePrefix="0" xfId="0">
      <alignment horizontal="right" vertical="center"/>
    </xf>
    <xf numFmtId="165" fontId="0" fillId="4" borderId="1" applyAlignment="1" pivotButton="0" quotePrefix="0" xfId="0">
      <alignment horizontal="right" vertical="center"/>
    </xf>
    <xf numFmtId="0" fontId="15" fillId="0" borderId="1" pivotButton="0" quotePrefix="0" xfId="0"/>
    <xf numFmtId="0" fontId="0" fillId="4" borderId="1" applyAlignment="1" pivotButton="0" quotePrefix="0" xfId="0">
      <alignment horizontal="right" vertical="center"/>
    </xf>
    <xf numFmtId="1" fontId="0" fillId="8" borderId="1" applyAlignment="1" pivotButton="0" quotePrefix="0" xfId="0">
      <alignment horizontal="right" vertical="center"/>
    </xf>
    <xf numFmtId="0" fontId="16" fillId="0" borderId="1" pivotButton="0" quotePrefix="0" xfId="0"/>
    <xf numFmtId="1" fontId="16" fillId="9" borderId="1" applyAlignment="1" pivotButton="0" quotePrefix="0" xfId="0">
      <alignment horizontal="right" vertical="center"/>
    </xf>
    <xf numFmtId="0" fontId="17" fillId="0" borderId="1" pivotButton="0" quotePrefix="0" xfId="0"/>
    <xf numFmtId="0" fontId="18" fillId="0" borderId="1" applyAlignment="1" pivotButton="0" quotePrefix="0" xfId="0">
      <alignment horizontal="left"/>
    </xf>
    <xf numFmtId="165" fontId="0" fillId="8" borderId="1" applyAlignment="1" pivotButton="0" quotePrefix="0" xfId="0">
      <alignment horizontal="right" vertical="center"/>
    </xf>
    <xf numFmtId="0" fontId="16" fillId="0" borderId="1" applyAlignment="1" pivotButton="0" quotePrefix="0" xfId="0">
      <alignment horizontal="left"/>
    </xf>
    <xf numFmtId="165" fontId="16" fillId="10" borderId="1" applyAlignment="1" pivotButton="0" quotePrefix="0" xfId="0">
      <alignment horizontal="right" vertical="center"/>
    </xf>
    <xf numFmtId="0" fontId="0" fillId="0" borderId="1" pivotButton="0" quotePrefix="0" xfId="0"/>
    <xf numFmtId="2" fontId="0" fillId="8" borderId="1" applyAlignment="1" pivotButton="0" quotePrefix="0" xfId="0">
      <alignment horizontal="right" vertical="center"/>
    </xf>
    <xf numFmtId="169" fontId="0" fillId="8" borderId="1" applyAlignment="1" pivotButton="0" quotePrefix="0" xfId="0">
      <alignment horizontal="right" vertical="center"/>
    </xf>
    <xf numFmtId="167" fontId="16" fillId="10" borderId="1" applyAlignment="1" pivotButton="0" quotePrefix="0" xfId="0">
      <alignment horizontal="right" vertical="center"/>
    </xf>
    <xf numFmtId="0" fontId="8" fillId="11" borderId="1" applyAlignment="1" pivotButton="0" quotePrefix="0" xfId="0">
      <alignment horizontal="left" vertical="center"/>
    </xf>
    <xf numFmtId="170" fontId="8" fillId="11" borderId="1" applyAlignment="1" pivotButton="0" quotePrefix="0" xfId="0">
      <alignment horizontal="right" vertical="center"/>
    </xf>
    <xf numFmtId="0" fontId="12" fillId="0" borderId="1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applyAlignment="1" pivotButton="0" quotePrefix="0" xfId="0">
      <alignment horizontal="left" wrapText="1"/>
    </xf>
    <xf numFmtId="0" fontId="4" fillId="2" borderId="0" applyAlignment="1" pivotButton="0" quotePrefix="0" xfId="0">
      <alignment horizontal="center" vertical="center" wrapText="1"/>
    </xf>
    <xf numFmtId="0" fontId="5" fillId="3" borderId="0" pivotButton="0" quotePrefix="0" xfId="0"/>
    <xf numFmtId="0" fontId="0" fillId="0" borderId="1" applyAlignment="1" pivotButton="0" quotePrefix="0" xfId="0">
      <alignment horizontal="left" wrapText="1"/>
    </xf>
    <xf numFmtId="1" fontId="0" fillId="4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0" fontId="2" fillId="5" borderId="0" pivotButton="0" quotePrefix="0" xfId="0"/>
    <xf numFmtId="0" fontId="6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dxfs count="3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9C5700"/>
      </font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8" customWidth="1" min="3" max="3"/>
    <col width="15" customWidth="1" min="4" max="4"/>
    <col width="50" customWidth="1" min="6" max="6"/>
  </cols>
  <sheetData>
    <row r="1" ht="25" customHeight="1">
      <c r="A1" s="1" t="inlineStr">
        <is>
          <t>MUNICIPAL BOND BWIC PRICING MODEL - BLOOMBERG INTEGRATED</t>
        </is>
      </c>
    </row>
    <row r="2">
      <c r="A2" s="2" t="inlineStr">
        <is>
          <t>Model Date: 2026-01-12 | AAA MMD Benchmark | Requires Bloomberg Terminal</t>
        </is>
      </c>
    </row>
    <row r="3"/>
    <row r="4" ht="20" customHeight="1">
      <c r="A4" s="3" t="inlineStr">
        <is>
          <t>SECTION 1: CUSIP INPUT &amp; BLOOMBERG DATA</t>
        </is>
      </c>
      <c r="F4" s="4" t="inlineStr">
        <is>
          <t>ENHANCED WORKFLOW</t>
        </is>
      </c>
    </row>
    <row r="5" ht="18" customHeight="1">
      <c r="A5" s="5" t="inlineStr">
        <is>
          <t>CUSIP (Enter Here) ►</t>
        </is>
      </c>
      <c r="B5" s="6" t="inlineStr">
        <is>
          <t>64971WBJ5</t>
        </is>
      </c>
      <c r="C5" s="7" t="inlineStr">
        <is>
          <t>← PASTE CUSIP, BLOOMBERG AUTO-POPULATES</t>
        </is>
      </c>
      <c r="F5" s="8" t="inlineStr">
        <is>
          <t>COMPREHENSIVE CONCESSION MODEL</t>
        </is>
      </c>
    </row>
    <row r="6" ht="18" customHeight="1">
      <c r="F6" s="9" t="inlineStr">
        <is>
          <t>Uses AAA MMD as benchmark + auto-calculated spreads</t>
        </is>
      </c>
    </row>
    <row r="7" ht="18" customHeight="1">
      <c r="A7" s="10" t="inlineStr">
        <is>
          <t>Issuer / Description</t>
        </is>
      </c>
      <c r="B7" s="11">
        <f>IFERROR(BDP(B5&amp;" Corp","ISSUER_BULK"),"N/A - Check Bloomberg")</f>
        <v/>
      </c>
      <c r="F7" s="9" t="inlineStr"/>
    </row>
    <row r="8" ht="18" customHeight="1">
      <c r="A8" s="10" t="inlineStr">
        <is>
          <t>Security Type / Sector</t>
        </is>
      </c>
      <c r="B8" s="11">
        <f>IFERROR(BDP(B5&amp;" Corp","SECURITY_TYP"),"Unknown")</f>
        <v/>
      </c>
      <c r="F8" s="8" t="inlineStr">
        <is>
          <t>Quick Start:</t>
        </is>
      </c>
    </row>
    <row r="9" ht="18" customHeight="1">
      <c r="A9" s="10" t="inlineStr">
        <is>
          <t>S&amp;P Rating</t>
        </is>
      </c>
      <c r="B9" s="11">
        <f>IFERROR(BDP(B5&amp;" Corp","RTG_SP"),"NR")</f>
        <v/>
      </c>
      <c r="F9" s="8" t="inlineStr">
        <is>
          <t>1. Paste CUSIP in B5 (bright yellow)</t>
        </is>
      </c>
    </row>
    <row r="10" ht="18" customHeight="1">
      <c r="A10" s="10" t="inlineStr">
        <is>
          <t>Moody's Rating</t>
        </is>
      </c>
      <c r="B10" s="11">
        <f>IFERROR(BDP(B5&amp;" Corp","RTG_MOODY"),"NR")</f>
        <v/>
      </c>
      <c r="F10" s="8" t="inlineStr">
        <is>
          <t>2. Bloomberg auto-fills bond data (orange cells)</t>
        </is>
      </c>
    </row>
    <row r="11" ht="18" customHeight="1">
      <c r="A11" s="10" t="inlineStr">
        <is>
          <t>State</t>
        </is>
      </c>
      <c r="B11" s="11">
        <f>IFERROR(BDP(B5&amp;" Corp","CNTRY_OF_RISK"),"N/A")</f>
        <v/>
      </c>
      <c r="F11" s="9" t="inlineStr">
        <is>
          <t>3. Enter AAA MMD yield for maturity (B22)</t>
        </is>
      </c>
    </row>
    <row r="12" ht="18" customHeight="1">
      <c r="A12" s="10" t="inlineStr">
        <is>
          <t>Coupon (%)</t>
        </is>
      </c>
      <c r="B12" s="12">
        <f>IFERROR(BDP(B5&amp;" Corp","CPN"),"N/A")</f>
        <v/>
      </c>
      <c r="F12" s="9" t="inlineStr">
        <is>
          <t>4. Confirm Par Amount (B18)</t>
        </is>
      </c>
    </row>
    <row r="13" ht="18" customHeight="1">
      <c r="A13" s="10" t="inlineStr">
        <is>
          <t>Maturity Date</t>
        </is>
      </c>
      <c r="B13" s="13">
        <f>IFERROR(BDP(B5&amp;" Corp","MATURITY"),"N/A")</f>
        <v/>
      </c>
      <c r="F13" s="9" t="inlineStr">
        <is>
          <t>5. Select Market Regime (B29)</t>
        </is>
      </c>
    </row>
    <row r="14" ht="18" customHeight="1">
      <c r="A14" s="10" t="inlineStr">
        <is>
          <t>First Call Date</t>
        </is>
      </c>
      <c r="B14" s="13">
        <f>IFERROR(BDP(B5&amp;" Corp","NXT_CALL_DT"),"")</f>
        <v/>
      </c>
      <c r="F14" s="9" t="inlineStr">
        <is>
          <t>6. Review concession breakdown (Section 4)</t>
        </is>
      </c>
    </row>
    <row r="15" ht="18" customHeight="1">
      <c r="A15" s="10" t="inlineStr">
        <is>
          <t>Call Price</t>
        </is>
      </c>
      <c r="B15" s="14">
        <f>IFERROR(BDP(B5&amp;" Corp","NXT_CALL_PX"),"")</f>
        <v/>
      </c>
      <c r="F15" s="9" t="inlineStr">
        <is>
          <t>7. Check recommended bid (Section 5)</t>
        </is>
      </c>
    </row>
    <row r="16" ht="18" customHeight="1">
      <c r="A16" s="10" t="inlineStr">
        <is>
          <t>Total Issue Size ($MM)</t>
        </is>
      </c>
      <c r="B16" s="15">
        <f>IFERROR(BDP(B5&amp;" Corp","AMT_OUTSTANDING")/1000000,"N/A")</f>
        <v/>
      </c>
      <c r="F16" s="9" t="inlineStr"/>
    </row>
    <row r="17" ht="18" customHeight="1">
      <c r="F17" s="8" t="inlineStr">
        <is>
          <t>Key Enhancements:</t>
        </is>
      </c>
    </row>
    <row r="18" ht="18" customHeight="1">
      <c r="A18" s="16" t="inlineStr">
        <is>
          <t>Par Amount ($) - MANUAL</t>
        </is>
      </c>
      <c r="B18" s="17" t="n">
        <v>1000000</v>
      </c>
      <c r="F18" s="9" t="inlineStr">
        <is>
          <t>✓ Credit spread: Primary driver (0-75+ bps)</t>
        </is>
      </c>
    </row>
    <row r="19" ht="18" customHeight="1">
      <c r="A19" s="16" t="inlineStr">
        <is>
          <t>Settlement Date - MANUAL</t>
        </is>
      </c>
      <c r="B19" s="18" t="n">
        <v>45679</v>
      </c>
      <c r="F19" s="9" t="inlineStr">
        <is>
          <t>✓ Sector spread: GO=0, Healthcare=15, IDB=25</t>
        </is>
      </c>
    </row>
    <row r="20" ht="18" customHeight="1">
      <c r="F20" s="9" t="inlineStr">
        <is>
          <t>✓ Issue size: &lt;$50MM = +15 bps liquidity discount</t>
        </is>
      </c>
    </row>
    <row r="21" ht="18" customHeight="1">
      <c r="A21" s="3" t="inlineStr">
        <is>
          <t>SECTION 2: MARKET CURVE LEVELS (AAA Benchmark)</t>
        </is>
      </c>
      <c r="F21" s="9" t="inlineStr">
        <is>
          <t>✓ Trade size: Odd lot = +5 bps, Jumbo = +8 bps</t>
        </is>
      </c>
    </row>
    <row r="22" ht="18" customHeight="1">
      <c r="A22" s="16" t="inlineStr">
        <is>
          <t>AAA MMD Yield (%) - MANUAL</t>
        </is>
      </c>
      <c r="B22" s="19" t="n">
        <v>0.035</v>
      </c>
      <c r="C22" s="20" t="inlineStr">
        <is>
          <t>← Match maturity on AAA MMD curve</t>
        </is>
      </c>
      <c r="F22" s="9" t="inlineStr">
        <is>
          <t>✓ Total concession sanity check (warns &gt;150 bps)</t>
        </is>
      </c>
    </row>
    <row r="23" ht="18" customHeight="1">
      <c r="A23" s="10" t="inlineStr">
        <is>
          <t>Bloomberg BVAL Yield (%)</t>
        </is>
      </c>
      <c r="B23" s="12">
        <f>IFERROR(BDP(B5&amp;" Corp","BVAL_MID_YLD")/100,"N/A")</f>
        <v/>
      </c>
      <c r="F23" s="9" t="inlineStr"/>
    </row>
    <row r="24" ht="18" customHeight="1">
      <c r="A24" s="10" t="inlineStr">
        <is>
          <t>ICE EVAL Yield (%)</t>
        </is>
      </c>
      <c r="B24" s="12">
        <f>IFERROR(BDP(B5&amp;" Corp","ICE_MUNI_YLD")/100,"N/A")</f>
        <v/>
      </c>
      <c r="F24" s="8" t="inlineStr">
        <is>
          <t>Typical Spreads vs AAA:</t>
        </is>
      </c>
    </row>
    <row r="25" ht="18" customHeight="1">
      <c r="A25" s="10" t="inlineStr">
        <is>
          <t>Last TRACE Trade Yield (%)</t>
        </is>
      </c>
      <c r="B25" s="12">
        <f>IFERROR(BDP(B5&amp;" Corp","YLD_YTM_LAST")/100,"")</f>
        <v/>
      </c>
      <c r="F25" s="9" t="inlineStr">
        <is>
          <t>• AA+ GO, $200MM issue: ~15-20 bps</t>
        </is>
      </c>
    </row>
    <row r="26" ht="18" customHeight="1">
      <c r="A26" s="10" t="inlineStr">
        <is>
          <t>Last Trade Date</t>
        </is>
      </c>
      <c r="B26" s="13">
        <f>IFERROR(BDP(B5&amp;" Corp","TRADE_DT"),"")</f>
        <v/>
      </c>
      <c r="F26" s="9" t="inlineStr">
        <is>
          <t>• A rated Hospital: ~45-55 bps</t>
        </is>
      </c>
    </row>
    <row r="27" ht="18" customHeight="1">
      <c r="F27" s="9" t="inlineStr">
        <is>
          <t>• AA- Small IDB (&lt;$50MM): ~50-60 bps</t>
        </is>
      </c>
    </row>
    <row r="28" ht="18" customHeight="1">
      <c r="A28" s="3" t="inlineStr">
        <is>
          <t>SECTION 3: MARKET CONDITIONS</t>
        </is>
      </c>
      <c r="F28" s="9" t="inlineStr"/>
    </row>
    <row r="29" ht="18" customHeight="1">
      <c r="A29" s="16" t="inlineStr">
        <is>
          <t>Market Regime</t>
        </is>
      </c>
      <c r="B29" s="21" t="inlineStr">
        <is>
          <t>Neutral</t>
        </is>
      </c>
      <c r="C29" s="20" t="inlineStr">
        <is>
          <t>⬅ Select: Strong / Neutral / Weak / Crisis</t>
        </is>
      </c>
      <c r="F29" s="8" t="inlineStr">
        <is>
          <t>Color Guide:</t>
        </is>
      </c>
    </row>
    <row r="30" ht="18" customHeight="1">
      <c r="F30" s="9" t="inlineStr">
        <is>
          <t>🟨 Yellow = Manual input</t>
        </is>
      </c>
    </row>
    <row r="31" ht="18" customHeight="1">
      <c r="A31" s="3" t="inlineStr">
        <is>
          <t>SECTION 4: COMPREHENSIVE CONCESSION ENGINE (Auto-Calculated)</t>
        </is>
      </c>
      <c r="F31" s="9" t="inlineStr">
        <is>
          <t>🟧 Orange = Bloomberg data</t>
        </is>
      </c>
    </row>
    <row r="32" ht="18" customHeight="1">
      <c r="A32" s="10" t="inlineStr">
        <is>
          <t>Credit Spread (bps)</t>
        </is>
      </c>
      <c r="B32" s="22">
        <f>IF(OR(B9="AAA",B9="Aaa"),0,
IF(OR(B9="AA+",B9="Aa1"),5,
IF(OR(B9="AA",B9="Aa2"),8,
IF(OR(B9="AA-",B9="Aa3"),12,
IF(OR(B9="A+",B9="A1"),18,
IF(OR(B9="A",B9="A2"),25,
IF(OR(B9="A-",B9="A3"),35,
IF(OR(B9="BBB+",B9="Baa1"),50,
IF(OR(B9="BBB",B9="BBB-",B9="Baa2",B9="Baa3"),75,
IF(B9="NR",40,50))))))))))</f>
        <v/>
      </c>
      <c r="C32" s="2" t="inlineStr">
        <is>
          <t>Primary driver - spread vs AAA</t>
        </is>
      </c>
      <c r="F32" s="9" t="inlineStr">
        <is>
          <t>⬜ Gray = Calculated</t>
        </is>
      </c>
    </row>
    <row r="33">
      <c r="A33" s="10" t="inlineStr">
        <is>
          <t>Sector Spread (bps)</t>
        </is>
      </c>
      <c r="B33" s="22">
        <f>IF(OR(ISNUMBER(SEARCH("GO",B8)),ISNUMBER(SEARCH("General",B8))),0,
IF(OR(ISNUMBER(SEARCH("Water",B8)),ISNUMBER(SEARCH("Sewer",B8)),ISNUMBER(SEARCH("Power",B8)),ISNUMBER(SEARCH("Electric",B8))),2,
IF(OR(ISNUMBER(SEARCH("Higher",B8)),ISNUMBER(SEARCH("University",B8)),ISNUMBER(SEARCH("College",B8))),5,
IF(OR(ISNUMBER(SEARCH("Transport",B8)),ISNUMBER(SEARCH("Toll",B8)),ISNUMBER(SEARCH("Airport",B8))),8,
IF(OR(ISNUMBER(SEARCH("Health",B8)),ISNUMBER(SEARCH("Hospital",B8))),15,
IF(OR(ISNUMBER(SEARCH("Housing",B8)),ISNUMBER(SEARCH("Multifamily",B8))),20,
IF(OR(ISNUMBER(SEARCH("IDB",B8)),ISNUMBER(SEARCH("Industrial",B8))),25,10)))))))</f>
        <v/>
      </c>
      <c r="C33" s="2" t="inlineStr">
        <is>
          <t>Sector risk premium</t>
        </is>
      </c>
      <c r="F33" s="9" t="inlineStr">
        <is>
          <t>🟩 Green = Final outputs</t>
        </is>
      </c>
    </row>
    <row r="34">
      <c r="A34" s="10" t="inlineStr">
        <is>
          <t>Coupon Concession (bps)</t>
        </is>
      </c>
      <c r="B34" s="22">
        <f>IF(ISNUMBER(B12),IF(B12&gt;=0.05,5,IF(B12&gt;=0.04,2,IF(B12&gt;=0.03,5,12))),0)</f>
        <v/>
      </c>
      <c r="C34" s="2" t="inlineStr">
        <is>
          <t>Coupon structure adjustment</t>
        </is>
      </c>
    </row>
    <row r="35">
      <c r="A35" s="10" t="inlineStr">
        <is>
          <t>Call Concession (bps)</t>
        </is>
      </c>
      <c r="B35" s="22">
        <f>IF(B14="",0,IF((B14-B19)/365&lt;=2,8,IF((B14-B19)/365&lt;=5,4,IF((B14-B19)/365&lt;=10,2,1))))</f>
        <v/>
      </c>
      <c r="C35" s="2" t="inlineStr">
        <is>
          <t>Call risk premium</t>
        </is>
      </c>
    </row>
    <row r="36">
      <c r="A36" s="10" t="inlineStr">
        <is>
          <t>Issue Size Concession (bps)</t>
        </is>
      </c>
      <c r="B36" s="22">
        <f>IF(ISNUMBER(B16),IF(B16&gt;=500,0,IF(B16&gt;=200,2,IF(B16&gt;=100,5,IF(B16&gt;=50,8,15)))),5)</f>
        <v/>
      </c>
      <c r="C36" s="2" t="inlineStr">
        <is>
          <t>Liquidity discount for small issues</t>
        </is>
      </c>
    </row>
    <row r="37">
      <c r="A37" s="10" t="inlineStr">
        <is>
          <t>Trade Size Concession (bps)</t>
        </is>
      </c>
      <c r="B37" s="22">
        <f>IF(B18&lt;100000,5,IF(B18&lt;=1000000,0,IF(B18&lt;=3000000,3,8)))</f>
        <v/>
      </c>
      <c r="C37" s="2" t="inlineStr">
        <is>
          <t>Position risk adjustment</t>
        </is>
      </c>
    </row>
    <row r="38">
      <c r="A38" s="10" t="inlineStr">
        <is>
          <t>Market Regime Adj (bps)</t>
        </is>
      </c>
      <c r="B38" s="22">
        <f>IF(B29="Strong",-3,IF(B29="Weak",8,IF(B29="Crisis",20,0)))</f>
        <v/>
      </c>
      <c r="C38" s="2" t="inlineStr">
        <is>
          <t>Market condition factor</t>
        </is>
      </c>
    </row>
    <row r="39" ht="22" customHeight="1">
      <c r="A39" s="23" t="inlineStr">
        <is>
          <t>TOTAL CONCESSION (bps)</t>
        </is>
      </c>
      <c r="B39" s="24">
        <f>SUM(B32:B38)</f>
        <v/>
      </c>
      <c r="C39" s="25">
        <f>IF(B39&gt;'Assumptions &amp; Guardrails'!$B$72,"⚠ HIGH - Verify","Total spread vs AAA")</f>
        <v/>
      </c>
    </row>
    <row r="40"/>
    <row r="41" ht="20" customHeight="1">
      <c r="A41" s="3" t="inlineStr">
        <is>
          <t>SECTION 5: BID GUARDRAIL FRAMEWORK</t>
        </is>
      </c>
    </row>
    <row r="42">
      <c r="A42" s="26" t="inlineStr">
        <is>
          <t>Step 1: AAA MMD + Total Concession</t>
        </is>
      </c>
      <c r="B42" s="27">
        <f>B22+(B39/10000)</f>
        <v/>
      </c>
      <c r="C42" s="20" t="inlineStr">
        <is>
          <t>Fair generic level for credit</t>
        </is>
      </c>
    </row>
    <row r="43">
      <c r="A43" s="26" t="inlineStr">
        <is>
          <t>Step 2: BVAL - Cushion</t>
        </is>
      </c>
      <c r="B43" s="27">
        <f>IF(ISNUMBER(B23),B23-('Assumptions &amp; Guardrails'!$B$69/10000),"N/A")</f>
        <v/>
      </c>
      <c r="C43" s="20" t="inlineStr">
        <is>
          <t>BVAL w/ safety margin</t>
        </is>
      </c>
    </row>
    <row r="44">
      <c r="A44" s="26" t="inlineStr">
        <is>
          <t>Step 3: Inside Target</t>
        </is>
      </c>
      <c r="B44" s="27">
        <f>IF(AND(ISNUMBER(B42),ISNUMBER(B43)),MIN(B42,B43),B42)</f>
        <v/>
      </c>
      <c r="C44" s="20" t="inlineStr">
        <is>
          <t>Best justified level</t>
        </is>
      </c>
    </row>
    <row r="45">
      <c r="A45" s="26" t="inlineStr">
        <is>
          <t>Step 4: ICE Floor</t>
        </is>
      </c>
      <c r="B45" s="27">
        <f>IF(ISNUMBER(B24),B24,"N/A")</f>
        <v/>
      </c>
      <c r="C45" s="20" t="inlineStr">
        <is>
          <t>Liquidity floor</t>
        </is>
      </c>
    </row>
    <row r="46" ht="22" customHeight="1">
      <c r="A46" s="28" t="inlineStr">
        <is>
          <t>RECOMMENDED BID YIELD</t>
        </is>
      </c>
      <c r="B46" s="29">
        <f>IF(AND(ISNUMBER(B44),ISNUMBER(B45)),MAX(B44,B45),"Check Bloomberg")</f>
        <v/>
      </c>
      <c r="C46" s="20" t="inlineStr">
        <is>
          <t>Final bid level</t>
        </is>
      </c>
    </row>
    <row r="47"/>
    <row r="48" ht="20" customHeight="1">
      <c r="A48" s="3" t="inlineStr">
        <is>
          <t>SECTION 6: PRICE CALCULATION (30/360 Muni Math)</t>
        </is>
      </c>
    </row>
    <row r="49">
      <c r="A49" s="30" t="inlineStr">
        <is>
          <t>Yield (basis)</t>
        </is>
      </c>
      <c r="B49" s="27">
        <f>B46</f>
        <v/>
      </c>
    </row>
    <row r="50">
      <c r="A50" s="30" t="inlineStr">
        <is>
          <t>Years to Maturity</t>
        </is>
      </c>
      <c r="B50" s="31">
        <f>IF(ISNUMBER(B13),(B13-B19)/365,"N/A")</f>
        <v/>
      </c>
    </row>
    <row r="51">
      <c r="A51" s="30" t="inlineStr">
        <is>
          <t>Periods to Maturity</t>
        </is>
      </c>
      <c r="B51" s="31">
        <f>IF(ISNUMBER(B50),B50*2,"N/A")</f>
        <v/>
      </c>
    </row>
    <row r="52">
      <c r="A52" s="30" t="inlineStr">
        <is>
          <t>Period Yield</t>
        </is>
      </c>
      <c r="B52" s="32">
        <f>IF(ISNUMBER(B46),B46/2,"N/A")</f>
        <v/>
      </c>
    </row>
    <row r="53">
      <c r="A53" s="30" t="inlineStr">
        <is>
          <t>Period Coupon</t>
        </is>
      </c>
      <c r="B53" s="32">
        <f>IF(ISNUMBER(B12),B12/2,"N/A")</f>
        <v/>
      </c>
    </row>
    <row r="54"/>
    <row r="55" ht="22" customHeight="1">
      <c r="A55" s="23" t="inlineStr">
        <is>
          <t>CLEAN PRICE</t>
        </is>
      </c>
      <c r="B55" s="33">
        <f>IF(AND(ISNUMBER(B52),ISNUMBER(B53),ISNUMBER(B51)),(B53/B52)*(1-1/((1+B52)^B51))+(100/((1+B52)^B51)),"N/A")</f>
        <v/>
      </c>
    </row>
    <row r="56">
      <c r="A56" s="30" t="inlineStr">
        <is>
          <t>Days Since Last Coupon</t>
        </is>
      </c>
      <c r="B56" s="22">
        <f>IF(ISNUMBER(B13),MOD(B19-DATE(YEAR(B13),MONTH(B13),DAY(B13)),180),"N/A")</f>
        <v/>
      </c>
    </row>
    <row r="57">
      <c r="A57" s="23" t="inlineStr">
        <is>
          <t>ACCRUED INTEREST</t>
        </is>
      </c>
      <c r="B57" s="33">
        <f>IF(AND(ISNUMBER(B12),ISNUMBER(B56)),(B12/2)*(B56/180),"N/A")</f>
        <v/>
      </c>
    </row>
    <row r="58" ht="22" customHeight="1">
      <c r="A58" s="23" t="inlineStr">
        <is>
          <t>FULL (DIRTY) PRICE</t>
        </is>
      </c>
      <c r="B58" s="33">
        <f>IF(AND(ISNUMBER(B55),ISNUMBER(B57)),B55+B57,"N/A")</f>
        <v/>
      </c>
    </row>
    <row r="59"/>
    <row r="60" ht="25" customHeight="1">
      <c r="A60" s="34" t="inlineStr">
        <is>
          <t>ALL-IN DOLLAR BID</t>
        </is>
      </c>
      <c r="B60" s="35">
        <f>IF(ISNUMBER(B58),B58/100*B18,"N/A")</f>
        <v/>
      </c>
    </row>
    <row r="61"/>
    <row r="62" ht="20" customHeight="1">
      <c r="A62" s="3" t="inlineStr">
        <is>
          <t>SECTION 7: TRADING SIGNALS &amp; FLAGS</t>
        </is>
      </c>
    </row>
    <row r="63">
      <c r="A63" s="10" t="inlineStr">
        <is>
          <t>Spread vs AAA MMD (bps)</t>
        </is>
      </c>
      <c r="B63" s="22">
        <f>IF(AND(ISNUMBER(B46),ISNUMBER(B22)),(B46-B22)*10000,"N/A")</f>
        <v/>
      </c>
      <c r="C63" s="36">
        <f>IF(ISNUMBER(B63),IF(B63&gt;='Assumptions &amp; Guardrails'!$B$70,"BUY - Attractive",IF(B63&gt;=0,"FAIR","CAUTION - Rich")),"Check Data")</f>
        <v/>
      </c>
    </row>
    <row r="64">
      <c r="A64" s="10" t="inlineStr">
        <is>
          <t>BVAL vs ICE Spread (bps)</t>
        </is>
      </c>
      <c r="B64" s="22">
        <f>IF(AND(ISNUMBER(B23),ISNUMBER(B24)),(B23-B24)*10000,"N/A")</f>
        <v/>
      </c>
      <c r="C64" s="36">
        <f>IF(ISNUMBER(B64),IF(ABS(B64)&gt;'Assumptions &amp; Guardrails'!$B$72,"⚠ WIDE SPREAD - Check Data","OK"),"Check Bloomberg")</f>
        <v/>
      </c>
    </row>
    <row r="65">
      <c r="A65" s="10" t="inlineStr">
        <is>
          <t>Call Protection Check</t>
        </is>
      </c>
      <c r="B65" s="36">
        <f>IF(B14="","N/A - Bullet",IF(ISNUMBER(B55),IF(B55&lt;(B15-'Assumptions &amp; Guardrails'!$B$73*100),"✓ Safe","⚠ Near Call Price"),"N/A"))</f>
        <v/>
      </c>
    </row>
    <row r="66">
      <c r="A66" s="10" t="inlineStr">
        <is>
          <t>Total Concession Check</t>
        </is>
      </c>
      <c r="B66" s="36">
        <f>IF(B39&gt;'Assumptions &amp; Guardrails'!$B$74,"⚠ VERIFY - Very Wide","✓ Within Normal Range")</f>
        <v/>
      </c>
    </row>
  </sheetData>
  <mergeCells count="39">
    <mergeCell ref="F13:I13"/>
    <mergeCell ref="F31:I31"/>
    <mergeCell ref="F27:I27"/>
    <mergeCell ref="F9:I9"/>
    <mergeCell ref="A4:D4"/>
    <mergeCell ref="A62:D62"/>
    <mergeCell ref="A28:D28"/>
    <mergeCell ref="F14:I14"/>
    <mergeCell ref="A31:D31"/>
    <mergeCell ref="A48:D48"/>
    <mergeCell ref="F4:I4"/>
    <mergeCell ref="F11:I11"/>
    <mergeCell ref="F29:I29"/>
    <mergeCell ref="F16:I16"/>
    <mergeCell ref="F19:I19"/>
    <mergeCell ref="F25:I25"/>
    <mergeCell ref="F10:I10"/>
    <mergeCell ref="F6:I6"/>
    <mergeCell ref="F28:I28"/>
    <mergeCell ref="A1:M1"/>
    <mergeCell ref="F7:I7"/>
    <mergeCell ref="F12:I12"/>
    <mergeCell ref="F24:I24"/>
    <mergeCell ref="F30:I30"/>
    <mergeCell ref="F15:I15"/>
    <mergeCell ref="F21:I21"/>
    <mergeCell ref="A41:D41"/>
    <mergeCell ref="F5:I5"/>
    <mergeCell ref="F20:I20"/>
    <mergeCell ref="F33:I33"/>
    <mergeCell ref="F18:I18"/>
    <mergeCell ref="F32:I32"/>
    <mergeCell ref="F26:I26"/>
    <mergeCell ref="F17:I17"/>
    <mergeCell ref="F8:I8"/>
    <mergeCell ref="A21:D21"/>
    <mergeCell ref="F23:I23"/>
    <mergeCell ref="A2:M2"/>
    <mergeCell ref="F22:I22"/>
  </mergeCells>
  <conditionalFormatting sqref="C63">
    <cfRule type="cellIs" priority="1" operator="containsText" dxfId="0">
      <formula>"BUY"</formula>
    </cfRule>
    <cfRule type="cellIs" priority="2" operator="containsText" dxfId="1">
      <formula>"CAUTION"</formula>
    </cfRule>
  </conditionalFormatting>
  <conditionalFormatting sqref="C64">
    <cfRule type="cellIs" priority="3" operator="containsText" dxfId="2">
      <formula>"⚠"</formula>
    </cfRule>
  </conditionalFormatting>
  <conditionalFormatting sqref="B65">
    <cfRule type="cellIs" priority="4" operator="containsText" dxfId="2">
      <formula>"⚠"</formula>
    </cfRule>
  </conditionalFormatting>
  <conditionalFormatting sqref="B66">
    <cfRule type="cellIs" priority="5" operator="containsText" dxfId="2">
      <formula>"⚠"</formula>
    </cfRule>
  </conditionalFormatting>
  <dataValidations count="1">
    <dataValidation sqref="B29" showDropDown="0" showInputMessage="0" showErrorMessage="0" allowBlank="0" type="list">
      <formula1>"Strong,Neutral,Weak,Crisis"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6" customWidth="1" min="3" max="3"/>
    <col width="35" customWidth="1" min="4" max="4"/>
    <col width="22" customWidth="1" min="5" max="5"/>
  </cols>
  <sheetData>
    <row r="1" ht="25" customHeight="1">
      <c r="A1" s="37" t="inlineStr">
        <is>
          <t>MUNICIPAL BOND BWIC MODEL - ASSUMPTIONS &amp; GUARDRAILS</t>
        </is>
      </c>
    </row>
    <row r="3">
      <c r="A3" s="38" t="inlineStr">
        <is>
          <t>COMPREHENSIVE CONCESSION FRAMEWORK (bps vs AAA MMD)</t>
        </is>
      </c>
    </row>
    <row r="4" ht="25" customHeight="1">
      <c r="A4" s="39" t="inlineStr">
        <is>
          <t>NOTE: All concessions are ADDITIVE to AAA MMD base curve. Model auto-detects characteristics from Bloomberg data.</t>
        </is>
      </c>
    </row>
    <row r="5">
      <c r="A5" s="40" t="inlineStr">
        <is>
          <t>Factor</t>
        </is>
      </c>
      <c r="B5" s="40" t="inlineStr">
        <is>
          <t>Condition</t>
        </is>
      </c>
      <c r="C5" s="40" t="inlineStr">
        <is>
          <t>Concession (bps)</t>
        </is>
      </c>
      <c r="D5" s="40" t="inlineStr">
        <is>
          <t>Rationale</t>
        </is>
      </c>
      <c r="E5" s="40" t="inlineStr">
        <is>
          <t>Bloomberg Field</t>
        </is>
      </c>
    </row>
    <row r="6">
      <c r="A6" s="41" t="inlineStr">
        <is>
          <t>CREDIT QUALITY</t>
        </is>
      </c>
    </row>
    <row r="7">
      <c r="A7" s="42" t="inlineStr">
        <is>
          <t>Credit Rating</t>
        </is>
      </c>
      <c r="B7" s="42" t="inlineStr">
        <is>
          <t>AAA / Aaa</t>
        </is>
      </c>
      <c r="C7" s="43" t="n">
        <v>0</v>
      </c>
      <c r="D7" s="42" t="inlineStr">
        <is>
          <t>Benchmark - no spread</t>
        </is>
      </c>
      <c r="E7" s="42" t="inlineStr">
        <is>
          <t>RTG_SP / RTG_MOODY</t>
        </is>
      </c>
    </row>
    <row r="8">
      <c r="A8" s="42" t="inlineStr"/>
      <c r="B8" s="42" t="inlineStr">
        <is>
          <t>AA+ / Aa1</t>
        </is>
      </c>
      <c r="C8" s="43" t="n">
        <v>5</v>
      </c>
      <c r="D8" s="42" t="inlineStr">
        <is>
          <t>High grade spread</t>
        </is>
      </c>
      <c r="E8" s="42" t="inlineStr"/>
    </row>
    <row r="9">
      <c r="A9" s="42" t="inlineStr"/>
      <c r="B9" s="42" t="inlineStr">
        <is>
          <t>AA / Aa2</t>
        </is>
      </c>
      <c r="C9" s="43" t="n">
        <v>8</v>
      </c>
      <c r="D9" s="42" t="inlineStr">
        <is>
          <t>Standard AA spread</t>
        </is>
      </c>
      <c r="E9" s="42" t="inlineStr"/>
    </row>
    <row r="10">
      <c r="A10" s="42" t="inlineStr"/>
      <c r="B10" s="42" t="inlineStr">
        <is>
          <t>AA- / Aa3</t>
        </is>
      </c>
      <c r="C10" s="43" t="n">
        <v>12</v>
      </c>
      <c r="D10" s="42" t="inlineStr">
        <is>
          <t>Lower AA tier</t>
        </is>
      </c>
      <c r="E10" s="42" t="inlineStr"/>
    </row>
    <row r="11">
      <c r="A11" s="42" t="inlineStr"/>
      <c r="B11" s="42" t="inlineStr">
        <is>
          <t>A+ / A1</t>
        </is>
      </c>
      <c r="C11" s="43" t="n">
        <v>18</v>
      </c>
      <c r="D11" s="42" t="inlineStr">
        <is>
          <t>Upper single-A</t>
        </is>
      </c>
      <c r="E11" s="42" t="inlineStr"/>
    </row>
    <row r="12">
      <c r="A12" s="42" t="inlineStr"/>
      <c r="B12" s="42" t="inlineStr">
        <is>
          <t>A / A2</t>
        </is>
      </c>
      <c r="C12" s="43" t="n">
        <v>25</v>
      </c>
      <c r="D12" s="42" t="inlineStr">
        <is>
          <t>Core single-A</t>
        </is>
      </c>
      <c r="E12" s="42" t="inlineStr"/>
    </row>
    <row r="13">
      <c r="A13" s="42" t="inlineStr"/>
      <c r="B13" s="42" t="inlineStr">
        <is>
          <t>A- / A3</t>
        </is>
      </c>
      <c r="C13" s="43" t="n">
        <v>35</v>
      </c>
      <c r="D13" s="42" t="inlineStr">
        <is>
          <t>Lower single-A</t>
        </is>
      </c>
      <c r="E13" s="42" t="inlineStr"/>
    </row>
    <row r="14">
      <c r="A14" s="42" t="inlineStr"/>
      <c r="B14" s="42" t="inlineStr">
        <is>
          <t>BBB+ / Baa1</t>
        </is>
      </c>
      <c r="C14" s="43" t="n">
        <v>50</v>
      </c>
      <c r="D14" s="42" t="inlineStr">
        <is>
          <t>Upper BBB - credit risk</t>
        </is>
      </c>
      <c r="E14" s="42" t="inlineStr"/>
    </row>
    <row r="15">
      <c r="A15" s="42" t="inlineStr"/>
      <c r="B15" s="42" t="inlineStr">
        <is>
          <t>BBB / Baa2 or lower</t>
        </is>
      </c>
      <c r="C15" s="43" t="n">
        <v>75</v>
      </c>
      <c r="D15" s="42" t="inlineStr">
        <is>
          <t>Below investment grade threshold</t>
        </is>
      </c>
      <c r="E15" s="42" t="inlineStr"/>
    </row>
    <row r="16">
      <c r="A16" s="42" t="inlineStr"/>
      <c r="B16" s="42" t="inlineStr">
        <is>
          <t>Unrated</t>
        </is>
      </c>
      <c r="C16" s="43" t="n">
        <v>40</v>
      </c>
      <c r="D16" s="42" t="inlineStr">
        <is>
          <t>No rating = liquidity discount</t>
        </is>
      </c>
      <c r="E16" s="42" t="inlineStr"/>
    </row>
    <row r="17">
      <c r="A17" s="42" t="inlineStr"/>
      <c r="B17" s="42" t="inlineStr"/>
      <c r="C17" s="42" t="inlineStr"/>
      <c r="D17" s="42" t="inlineStr"/>
      <c r="E17" s="42" t="inlineStr"/>
    </row>
    <row r="18">
      <c r="A18" s="41" t="inlineStr">
        <is>
          <t>SECTOR RISK</t>
        </is>
      </c>
    </row>
    <row r="19">
      <c r="A19" s="42" t="inlineStr">
        <is>
          <t>Sector</t>
        </is>
      </c>
      <c r="B19" s="42" t="inlineStr">
        <is>
          <t>General Obligation</t>
        </is>
      </c>
      <c r="C19" s="43" t="n">
        <v>0</v>
      </c>
      <c r="D19" s="42" t="inlineStr">
        <is>
          <t>Full faith &amp; credit - tightest</t>
        </is>
      </c>
      <c r="E19" s="42" t="inlineStr">
        <is>
          <t>SECURITY_TYP</t>
        </is>
      </c>
    </row>
    <row r="20">
      <c r="A20" s="42" t="inlineStr"/>
      <c r="B20" s="42" t="inlineStr">
        <is>
          <t>Essential Service Rev</t>
        </is>
      </c>
      <c r="C20" s="43" t="n">
        <v>2</v>
      </c>
      <c r="D20" s="42" t="inlineStr">
        <is>
          <t>Water, sewer, power - strong</t>
        </is>
      </c>
      <c r="E20" s="42" t="inlineStr"/>
    </row>
    <row r="21">
      <c r="A21" s="42" t="inlineStr"/>
      <c r="B21" s="42" t="inlineStr">
        <is>
          <t>Higher Ed</t>
        </is>
      </c>
      <c r="C21" s="43" t="n">
        <v>5</v>
      </c>
      <c r="D21" s="42" t="inlineStr">
        <is>
          <t>University revenue - stable</t>
        </is>
      </c>
      <c r="E21" s="42" t="inlineStr"/>
    </row>
    <row r="22">
      <c r="A22" s="42" t="inlineStr"/>
      <c r="B22" s="42" t="inlineStr">
        <is>
          <t>Transportation</t>
        </is>
      </c>
      <c r="C22" s="43" t="n">
        <v>8</v>
      </c>
      <c r="D22" s="42" t="inlineStr">
        <is>
          <t>Toll roads, airports - usage risk</t>
        </is>
      </c>
      <c r="E22" s="42" t="inlineStr"/>
    </row>
    <row r="23">
      <c r="A23" s="42" t="inlineStr"/>
      <c r="B23" s="42" t="inlineStr">
        <is>
          <t>Healthcare</t>
        </is>
      </c>
      <c r="C23" s="43" t="n">
        <v>15</v>
      </c>
      <c r="D23" s="42" t="inlineStr">
        <is>
          <t>Hospital revenue - sector stress</t>
        </is>
      </c>
      <c r="E23" s="42" t="inlineStr"/>
    </row>
    <row r="24">
      <c r="A24" s="42" t="inlineStr"/>
      <c r="B24" s="42" t="inlineStr">
        <is>
          <t>Housing</t>
        </is>
      </c>
      <c r="C24" s="43" t="n">
        <v>20</v>
      </c>
      <c r="D24" s="42" t="inlineStr">
        <is>
          <t>Affordable housing - volatility</t>
        </is>
      </c>
      <c r="E24" s="42" t="inlineStr"/>
    </row>
    <row r="25">
      <c r="A25" s="42" t="inlineStr"/>
      <c r="B25" s="42" t="inlineStr">
        <is>
          <t>IDB / Private Activity</t>
        </is>
      </c>
      <c r="C25" s="43" t="n">
        <v>25</v>
      </c>
      <c r="D25" s="42" t="inlineStr">
        <is>
          <t>Industrial dev - private credit</t>
        </is>
      </c>
      <c r="E25" s="42" t="inlineStr"/>
    </row>
    <row r="26">
      <c r="A26" s="42" t="inlineStr"/>
      <c r="B26" s="42" t="inlineStr">
        <is>
          <t>Other / Unknown</t>
        </is>
      </c>
      <c r="C26" s="43" t="n">
        <v>10</v>
      </c>
      <c r="D26" s="42" t="inlineStr">
        <is>
          <t>Default for unlabeled</t>
        </is>
      </c>
      <c r="E26" s="42" t="inlineStr"/>
    </row>
    <row r="27">
      <c r="A27" s="42" t="inlineStr"/>
      <c r="B27" s="42" t="inlineStr"/>
      <c r="C27" s="42" t="inlineStr"/>
      <c r="D27" s="42" t="inlineStr"/>
      <c r="E27" s="42" t="inlineStr"/>
    </row>
    <row r="28">
      <c r="A28" s="41" t="inlineStr">
        <is>
          <t>COUPON STRUCTURE</t>
        </is>
      </c>
    </row>
    <row r="29">
      <c r="A29" s="42" t="inlineStr">
        <is>
          <t>Coupon</t>
        </is>
      </c>
      <c r="B29" s="42" t="inlineStr">
        <is>
          <t>Premium (≥5%)</t>
        </is>
      </c>
      <c r="C29" s="43" t="n">
        <v>5</v>
      </c>
      <c r="D29" s="42" t="inlineStr">
        <is>
          <t>Tax inefficient, negative convexity</t>
        </is>
      </c>
      <c r="E29" s="42" t="inlineStr">
        <is>
          <t>CPN</t>
        </is>
      </c>
    </row>
    <row r="30">
      <c r="A30" s="42" t="inlineStr"/>
      <c r="B30" s="42" t="inlineStr">
        <is>
          <t>Current (4-5%)</t>
        </is>
      </c>
      <c r="C30" s="43" t="n">
        <v>2</v>
      </c>
      <c r="D30" s="42" t="inlineStr">
        <is>
          <t>Market standard</t>
        </is>
      </c>
      <c r="E30" s="42" t="inlineStr"/>
    </row>
    <row r="31">
      <c r="A31" s="42" t="inlineStr"/>
      <c r="B31" s="42" t="inlineStr">
        <is>
          <t>Discount (3-4%)</t>
        </is>
      </c>
      <c r="C31" s="43" t="n">
        <v>5</v>
      </c>
      <c r="D31" s="42" t="inlineStr">
        <is>
          <t>Reinvestment risk</t>
        </is>
      </c>
      <c r="E31" s="42" t="inlineStr"/>
    </row>
    <row r="32">
      <c r="A32" s="42" t="inlineStr"/>
      <c r="B32" s="42" t="inlineStr">
        <is>
          <t>Deep Discount (&lt;3%)</t>
        </is>
      </c>
      <c r="C32" s="43" t="n">
        <v>12</v>
      </c>
      <c r="D32" s="42" t="inlineStr">
        <is>
          <t>Significant reinvestment risk</t>
        </is>
      </c>
      <c r="E32" s="42" t="inlineStr"/>
    </row>
    <row r="33">
      <c r="A33" s="42" t="inlineStr"/>
      <c r="B33" s="42" t="inlineStr"/>
      <c r="C33" s="42" t="inlineStr"/>
      <c r="D33" s="42" t="inlineStr"/>
      <c r="E33" s="42" t="inlineStr"/>
    </row>
    <row r="34">
      <c r="A34" s="41" t="inlineStr">
        <is>
          <t>CALL STRUCTURE</t>
        </is>
      </c>
    </row>
    <row r="35">
      <c r="A35" s="42" t="inlineStr">
        <is>
          <t>Callability</t>
        </is>
      </c>
      <c r="B35" s="42" t="inlineStr">
        <is>
          <t>Bullet (non-callable)</t>
        </is>
      </c>
      <c r="C35" s="43" t="n">
        <v>0</v>
      </c>
      <c r="D35" s="42" t="inlineStr">
        <is>
          <t>No call risk</t>
        </is>
      </c>
      <c r="E35" s="42" t="inlineStr">
        <is>
          <t>NXT_CALL_DT</t>
        </is>
      </c>
    </row>
    <row r="36">
      <c r="A36" s="42" t="inlineStr"/>
      <c r="B36" s="42" t="inlineStr">
        <is>
          <t>Callable &lt;2 yrs</t>
        </is>
      </c>
      <c r="C36" s="43" t="n">
        <v>8</v>
      </c>
      <c r="D36" s="42" t="inlineStr">
        <is>
          <t>Imminent call risk</t>
        </is>
      </c>
      <c r="E36" s="42" t="inlineStr"/>
    </row>
    <row r="37">
      <c r="A37" s="42" t="inlineStr"/>
      <c r="B37" s="42" t="inlineStr">
        <is>
          <t>Callable 2-5 yrs</t>
        </is>
      </c>
      <c r="C37" s="43" t="n">
        <v>4</v>
      </c>
      <c r="D37" s="42" t="inlineStr">
        <is>
          <t>Near-term call risk</t>
        </is>
      </c>
      <c r="E37" s="42" t="inlineStr"/>
    </row>
    <row r="38">
      <c r="A38" s="42" t="inlineStr"/>
      <c r="B38" s="42" t="inlineStr">
        <is>
          <t>Callable 5-10 yrs</t>
        </is>
      </c>
      <c r="C38" s="43" t="n">
        <v>2</v>
      </c>
      <c r="D38" s="42" t="inlineStr">
        <is>
          <t>Moderate call risk</t>
        </is>
      </c>
      <c r="E38" s="42" t="inlineStr"/>
    </row>
    <row r="39">
      <c r="A39" s="42" t="inlineStr"/>
      <c r="B39" s="42" t="inlineStr">
        <is>
          <t>Callable &gt;10 yrs</t>
        </is>
      </c>
      <c r="C39" s="43" t="n">
        <v>1</v>
      </c>
      <c r="D39" s="42" t="inlineStr">
        <is>
          <t>Minimal call risk</t>
        </is>
      </c>
      <c r="E39" s="42" t="inlineStr"/>
    </row>
    <row r="40">
      <c r="A40" s="42" t="inlineStr"/>
      <c r="B40" s="42" t="inlineStr"/>
      <c r="C40" s="42" t="inlineStr"/>
      <c r="D40" s="42" t="inlineStr"/>
      <c r="E40" s="42" t="inlineStr"/>
    </row>
    <row r="41">
      <c r="A41" s="41" t="inlineStr">
        <is>
          <t>ISSUE SIZE (Liquidity)</t>
        </is>
      </c>
    </row>
    <row r="42">
      <c r="A42" s="42" t="inlineStr">
        <is>
          <t>Total Issue Size</t>
        </is>
      </c>
      <c r="B42" s="42" t="inlineStr">
        <is>
          <t>Mega (&gt;$500MM)</t>
        </is>
      </c>
      <c r="C42" s="43" t="n">
        <v>0</v>
      </c>
      <c r="D42" s="42" t="inlineStr">
        <is>
          <t>Benchmark liquidity</t>
        </is>
      </c>
      <c r="E42" s="42" t="inlineStr">
        <is>
          <t>AMT_OUTSTANDING</t>
        </is>
      </c>
    </row>
    <row r="43">
      <c r="A43" s="42" t="inlineStr"/>
      <c r="B43" s="42" t="inlineStr">
        <is>
          <t>Large ($200-500MM)</t>
        </is>
      </c>
      <c r="C43" s="43" t="n">
        <v>2</v>
      </c>
      <c r="D43" s="42" t="inlineStr">
        <is>
          <t>Good liquidity</t>
        </is>
      </c>
      <c r="E43" s="42" t="inlineStr"/>
    </row>
    <row r="44">
      <c r="A44" s="42" t="inlineStr"/>
      <c r="B44" s="42" t="inlineStr">
        <is>
          <t>Mid ($100-200MM)</t>
        </is>
      </c>
      <c r="C44" s="43" t="n">
        <v>5</v>
      </c>
      <c r="D44" s="42" t="inlineStr">
        <is>
          <t>Average liquidity</t>
        </is>
      </c>
      <c r="E44" s="42" t="inlineStr"/>
    </row>
    <row r="45">
      <c r="A45" s="42" t="inlineStr"/>
      <c r="B45" s="42" t="inlineStr">
        <is>
          <t>Small ($50-100MM)</t>
        </is>
      </c>
      <c r="C45" s="43" t="n">
        <v>8</v>
      </c>
      <c r="D45" s="42" t="inlineStr">
        <is>
          <t>Limited liquidity</t>
        </is>
      </c>
      <c r="E45" s="42" t="inlineStr"/>
    </row>
    <row r="46">
      <c r="A46" s="42" t="inlineStr"/>
      <c r="B46" s="42" t="inlineStr">
        <is>
          <t>Tiny (&lt;$50MM)</t>
        </is>
      </c>
      <c r="C46" s="43" t="n">
        <v>15</v>
      </c>
      <c r="D46" s="42" t="inlineStr">
        <is>
          <t>Poor liquidity - hard to move</t>
        </is>
      </c>
      <c r="E46" s="42" t="inlineStr"/>
    </row>
    <row r="47">
      <c r="A47" s="42" t="inlineStr"/>
      <c r="B47" s="42" t="inlineStr"/>
      <c r="C47" s="42" t="inlineStr"/>
      <c r="D47" s="42" t="inlineStr"/>
      <c r="E47" s="42" t="inlineStr"/>
    </row>
    <row r="48">
      <c r="A48" s="41" t="inlineStr">
        <is>
          <t>TRADE SIZE</t>
        </is>
      </c>
    </row>
    <row r="49">
      <c r="A49" s="42" t="inlineStr">
        <is>
          <t>Par Amount Bidding</t>
        </is>
      </c>
      <c r="B49" s="42" t="inlineStr">
        <is>
          <t>Odd lot (&lt;$100k)</t>
        </is>
      </c>
      <c r="C49" s="43" t="n">
        <v>5</v>
      </c>
      <c r="D49" s="42" t="inlineStr">
        <is>
          <t>Liquidity discount on resale</t>
        </is>
      </c>
      <c r="E49" s="42" t="inlineStr">
        <is>
          <t>User Input</t>
        </is>
      </c>
    </row>
    <row r="50">
      <c r="A50" s="42" t="inlineStr"/>
      <c r="B50" s="42" t="inlineStr">
        <is>
          <t>Standard ($100k-$1MM)</t>
        </is>
      </c>
      <c r="C50" s="43" t="n">
        <v>0</v>
      </c>
      <c r="D50" s="42" t="inlineStr">
        <is>
          <t>Normal block</t>
        </is>
      </c>
      <c r="E50" s="42" t="inlineStr"/>
    </row>
    <row r="51">
      <c r="A51" s="42" t="inlineStr"/>
      <c r="B51" s="42" t="inlineStr">
        <is>
          <t>Large block ($1-3MM)</t>
        </is>
      </c>
      <c r="C51" s="43" t="n">
        <v>3</v>
      </c>
      <c r="D51" s="42" t="inlineStr">
        <is>
          <t>Position risk</t>
        </is>
      </c>
      <c r="E51" s="42" t="inlineStr"/>
    </row>
    <row r="52">
      <c r="A52" s="42" t="inlineStr"/>
      <c r="B52" s="42" t="inlineStr">
        <is>
          <t>Jumbo (&gt;$3MM)</t>
        </is>
      </c>
      <c r="C52" s="43" t="n">
        <v>8</v>
      </c>
      <c r="D52" s="42" t="inlineStr">
        <is>
          <t>Significant position risk</t>
        </is>
      </c>
      <c r="E52" s="42" t="inlineStr"/>
    </row>
    <row r="53">
      <c r="A53" s="42" t="inlineStr"/>
      <c r="B53" s="42" t="inlineStr"/>
      <c r="C53" s="42" t="inlineStr"/>
      <c r="D53" s="42" t="inlineStr"/>
      <c r="E53" s="42" t="inlineStr"/>
    </row>
    <row r="54">
      <c r="A54" s="41" t="inlineStr">
        <is>
          <t>MARKET CONDITIONS</t>
        </is>
      </c>
    </row>
    <row r="55">
      <c r="A55" s="42" t="inlineStr">
        <is>
          <t>Market Regime</t>
        </is>
      </c>
      <c r="B55" s="42" t="inlineStr">
        <is>
          <t>Strong (bid support)</t>
        </is>
      </c>
      <c r="C55" s="43" t="n">
        <v>-3</v>
      </c>
      <c r="D55" s="42" t="inlineStr">
        <is>
          <t>Aggressive market - can pay up</t>
        </is>
      </c>
      <c r="E55" s="42" t="inlineStr">
        <is>
          <t>User Dropdown</t>
        </is>
      </c>
    </row>
    <row r="56">
      <c r="A56" s="42" t="inlineStr"/>
      <c r="B56" s="42" t="inlineStr">
        <is>
          <t>Neutral</t>
        </is>
      </c>
      <c r="C56" s="43" t="n">
        <v>0</v>
      </c>
      <c r="D56" s="42" t="inlineStr">
        <is>
          <t>Normal conditions</t>
        </is>
      </c>
      <c r="E56" s="42" t="inlineStr"/>
    </row>
    <row r="57">
      <c r="A57" s="42" t="inlineStr"/>
      <c r="B57" s="42" t="inlineStr">
        <is>
          <t>Weak (volatile)</t>
        </is>
      </c>
      <c r="C57" s="43" t="n">
        <v>8</v>
      </c>
      <c r="D57" s="42" t="inlineStr">
        <is>
          <t>Defensive - need extra cushion</t>
        </is>
      </c>
      <c r="E57" s="42" t="inlineStr"/>
    </row>
    <row r="58">
      <c r="A58" s="42" t="inlineStr"/>
      <c r="B58" s="42" t="inlineStr">
        <is>
          <t>Crisis / Distressed</t>
        </is>
      </c>
      <c r="C58" s="43" t="n">
        <v>20</v>
      </c>
      <c r="D58" s="42" t="inlineStr">
        <is>
          <t>Major dislocation - capital preservation</t>
        </is>
      </c>
      <c r="E58" s="42" t="inlineStr"/>
    </row>
    <row r="61">
      <c r="A61" s="38" t="inlineStr">
        <is>
          <t>PRICING GUARDRAILS</t>
        </is>
      </c>
    </row>
    <row r="62">
      <c r="A62" s="40" t="inlineStr">
        <is>
          <t>Parameter</t>
        </is>
      </c>
      <c r="B62" s="40" t="inlineStr">
        <is>
          <t>Value</t>
        </is>
      </c>
      <c r="C62" s="40" t="inlineStr">
        <is>
          <t>Unit</t>
        </is>
      </c>
      <c r="D62" s="40" t="inlineStr">
        <is>
          <t>Purpose</t>
        </is>
      </c>
      <c r="E62" s="40" t="inlineStr">
        <is>
          <t>Notes</t>
        </is>
      </c>
    </row>
    <row r="63">
      <c r="A63" s="42" t="inlineStr">
        <is>
          <t>BVAL Cushion</t>
        </is>
      </c>
      <c r="B63" s="44" t="n">
        <v>2</v>
      </c>
      <c r="C63" s="42" t="inlineStr">
        <is>
          <t>bps</t>
        </is>
      </c>
      <c r="D63" s="42" t="inlineStr">
        <is>
          <t>Safety margin below evaluated level</t>
        </is>
      </c>
      <c r="E63" s="42" t="inlineStr">
        <is>
          <t>Never bid BVAL</t>
        </is>
      </c>
    </row>
    <row r="64">
      <c r="A64" s="42" t="inlineStr">
        <is>
          <t>Cheap to MMD Threshold</t>
        </is>
      </c>
      <c r="B64" s="44" t="n">
        <v>5</v>
      </c>
      <c r="C64" s="42" t="inlineStr">
        <is>
          <t>bps</t>
        </is>
      </c>
      <c r="D64" s="42" t="inlineStr">
        <is>
          <t>Green flag for attractive levels</t>
        </is>
      </c>
      <c r="E64" s="42" t="inlineStr">
        <is>
          <t>Relative value signal</t>
        </is>
      </c>
    </row>
    <row r="65">
      <c r="A65" s="42" t="inlineStr">
        <is>
          <t>Rich Warning Threshold</t>
        </is>
      </c>
      <c r="B65" s="44" t="n">
        <v>-2</v>
      </c>
      <c r="C65" s="42" t="inlineStr">
        <is>
          <t>bps</t>
        </is>
      </c>
      <c r="D65" s="42" t="inlineStr">
        <is>
          <t>Red flag - bidding through curves</t>
        </is>
      </c>
      <c r="E65" s="42" t="inlineStr">
        <is>
          <t>Risk alert</t>
        </is>
      </c>
    </row>
    <row r="66">
      <c r="A66" s="42" t="inlineStr">
        <is>
          <t>BVAL-ICE Divergence Alert</t>
        </is>
      </c>
      <c r="B66" s="44" t="n">
        <v>5</v>
      </c>
      <c r="C66" s="42" t="inlineStr">
        <is>
          <t>bps</t>
        </is>
      </c>
      <c r="D66" s="42" t="inlineStr">
        <is>
          <t>Flag curve inconsistency</t>
        </is>
      </c>
      <c r="E66" s="42" t="inlineStr">
        <is>
          <t>Data quality check</t>
        </is>
      </c>
    </row>
    <row r="67">
      <c r="A67" s="42" t="inlineStr">
        <is>
          <t>Call Protection Cushion</t>
        </is>
      </c>
      <c r="B67" s="44" t="n">
        <v>0.5</v>
      </c>
      <c r="C67" s="42" t="inlineStr">
        <is>
          <t>pts</t>
        </is>
      </c>
      <c r="D67" s="42" t="inlineStr">
        <is>
          <t>Min discount to call price</t>
        </is>
      </c>
      <c r="E67" s="42" t="inlineStr">
        <is>
          <t>Negative convexity buffer</t>
        </is>
      </c>
    </row>
    <row r="68">
      <c r="A68" s="42" t="inlineStr">
        <is>
          <t>Max Total Concession Cap</t>
        </is>
      </c>
      <c r="B68" s="44" t="n">
        <v>150</v>
      </c>
      <c r="C68" s="42" t="inlineStr">
        <is>
          <t>bps</t>
        </is>
      </c>
      <c r="D68" s="42" t="inlineStr">
        <is>
          <t>Sanity check on total spread</t>
        </is>
      </c>
      <c r="E68" s="42" t="inlineStr">
        <is>
          <t>Prevents bad bids</t>
        </is>
      </c>
    </row>
    <row r="71">
      <c r="A71" s="45" t="inlineStr">
        <is>
          <t>BLOOMBERG FIELD REFERENCE</t>
        </is>
      </c>
    </row>
    <row r="72">
      <c r="A72" s="40" t="inlineStr">
        <is>
          <t>Data Point</t>
        </is>
      </c>
      <c r="B72" s="40" t="inlineStr">
        <is>
          <t>Bloomberg Field</t>
        </is>
      </c>
      <c r="C72" s="40" t="inlineStr">
        <is>
          <t>Format</t>
        </is>
      </c>
      <c r="D72" s="40" t="inlineStr">
        <is>
          <t>Model Usage</t>
        </is>
      </c>
    </row>
    <row r="73">
      <c r="A73" s="42" t="inlineStr">
        <is>
          <t>Issuer Name</t>
        </is>
      </c>
      <c r="B73" s="46" t="inlineStr">
        <is>
          <t>ISSUER_BULK</t>
        </is>
      </c>
      <c r="C73" s="42" t="inlineStr">
        <is>
          <t>Text</t>
        </is>
      </c>
      <c r="D73" s="42" t="inlineStr">
        <is>
          <t>Display only</t>
        </is>
      </c>
    </row>
    <row r="74">
      <c r="A74" s="42" t="inlineStr">
        <is>
          <t>Coupon</t>
        </is>
      </c>
      <c r="B74" s="46" t="inlineStr">
        <is>
          <t>CPN</t>
        </is>
      </c>
      <c r="C74" s="42" t="inlineStr">
        <is>
          <t>Decimal</t>
        </is>
      </c>
      <c r="D74" s="42" t="inlineStr">
        <is>
          <t>Coupon concession calc</t>
        </is>
      </c>
    </row>
    <row r="75">
      <c r="A75" s="42" t="inlineStr">
        <is>
          <t>Maturity Date</t>
        </is>
      </c>
      <c r="B75" s="46" t="inlineStr">
        <is>
          <t>MATURITY</t>
        </is>
      </c>
      <c r="C75" s="42" t="inlineStr">
        <is>
          <t>Date</t>
        </is>
      </c>
      <c r="D75" s="42" t="inlineStr">
        <is>
          <t>YTM calculation</t>
        </is>
      </c>
    </row>
    <row r="76">
      <c r="A76" s="42" t="inlineStr">
        <is>
          <t>First Call Date</t>
        </is>
      </c>
      <c r="B76" s="46" t="inlineStr">
        <is>
          <t>NXT_CALL_DT</t>
        </is>
      </c>
      <c r="C76" s="42" t="inlineStr">
        <is>
          <t>Date</t>
        </is>
      </c>
      <c r="D76" s="42" t="inlineStr">
        <is>
          <t>Call concession calc</t>
        </is>
      </c>
    </row>
    <row r="77">
      <c r="A77" s="42" t="inlineStr">
        <is>
          <t>Call Price</t>
        </is>
      </c>
      <c r="B77" s="46" t="inlineStr">
        <is>
          <t>NXT_CALL_PX</t>
        </is>
      </c>
      <c r="C77" s="42" t="inlineStr">
        <is>
          <t>Number</t>
        </is>
      </c>
      <c r="D77" s="42" t="inlineStr">
        <is>
          <t>Call protection check</t>
        </is>
      </c>
    </row>
    <row r="78">
      <c r="A78" s="42" t="inlineStr">
        <is>
          <t>Sector</t>
        </is>
      </c>
      <c r="B78" s="46" t="inlineStr">
        <is>
          <t>SECURITY_TYP</t>
        </is>
      </c>
      <c r="C78" s="42" t="inlineStr">
        <is>
          <t>Text</t>
        </is>
      </c>
      <c r="D78" s="42" t="inlineStr">
        <is>
          <t>Sector concession lookup</t>
        </is>
      </c>
    </row>
    <row r="79">
      <c r="A79" s="42" t="inlineStr">
        <is>
          <t>S&amp;P Rating</t>
        </is>
      </c>
      <c r="B79" s="46" t="inlineStr">
        <is>
          <t>RTG_SP</t>
        </is>
      </c>
      <c r="C79" s="42" t="inlineStr">
        <is>
          <t>Text</t>
        </is>
      </c>
      <c r="D79" s="42" t="inlineStr">
        <is>
          <t>Credit spread calc (primary)</t>
        </is>
      </c>
    </row>
    <row r="80">
      <c r="A80" s="42" t="inlineStr">
        <is>
          <t>Moody's Rating</t>
        </is>
      </c>
      <c r="B80" s="46" t="inlineStr">
        <is>
          <t>RTG_MOODY</t>
        </is>
      </c>
      <c r="C80" s="42" t="inlineStr">
        <is>
          <t>Text</t>
        </is>
      </c>
      <c r="D80" s="42" t="inlineStr">
        <is>
          <t>Credit spread calc (backup)</t>
        </is>
      </c>
    </row>
    <row r="81">
      <c r="A81" s="42" t="inlineStr">
        <is>
          <t>State</t>
        </is>
      </c>
      <c r="B81" s="46" t="inlineStr">
        <is>
          <t>CNTRY_OF_RISK</t>
        </is>
      </c>
      <c r="C81" s="42" t="inlineStr">
        <is>
          <t>Text</t>
        </is>
      </c>
      <c r="D81" s="42" t="inlineStr">
        <is>
          <t>Display only</t>
        </is>
      </c>
    </row>
    <row r="82">
      <c r="A82" s="42" t="inlineStr">
        <is>
          <t>Total Issue Size</t>
        </is>
      </c>
      <c r="B82" s="46" t="inlineStr">
        <is>
          <t>AMT_OUTSTANDING</t>
        </is>
      </c>
      <c r="C82" s="42" t="inlineStr">
        <is>
          <t>Number</t>
        </is>
      </c>
      <c r="D82" s="42" t="inlineStr">
        <is>
          <t>Liquidity concession calc</t>
        </is>
      </c>
    </row>
    <row r="83">
      <c r="A83" s="42" t="inlineStr">
        <is>
          <t>BVAL Mid Yield</t>
        </is>
      </c>
      <c r="B83" s="46" t="inlineStr">
        <is>
          <t>BVAL_MID_YLD</t>
        </is>
      </c>
      <c r="C83" s="42" t="inlineStr">
        <is>
          <t>Percent</t>
        </is>
      </c>
      <c r="D83" s="42" t="inlineStr">
        <is>
          <t>Guardrail framework</t>
        </is>
      </c>
    </row>
    <row r="84">
      <c r="A84" s="42" t="inlineStr">
        <is>
          <t>ICE Evaluated Yield</t>
        </is>
      </c>
      <c r="B84" s="46" t="inlineStr">
        <is>
          <t>ICE_MUNI_YLD</t>
        </is>
      </c>
      <c r="C84" s="42" t="inlineStr">
        <is>
          <t>Percent</t>
        </is>
      </c>
      <c r="D84" s="42" t="inlineStr">
        <is>
          <t>Guardrail floor</t>
        </is>
      </c>
    </row>
    <row r="85">
      <c r="A85" s="42" t="inlineStr">
        <is>
          <t>Last Trade Yield</t>
        </is>
      </c>
      <c r="B85" s="46" t="inlineStr">
        <is>
          <t>YLD_YTM_LAST</t>
        </is>
      </c>
      <c r="C85" s="42" t="inlineStr">
        <is>
          <t>Percent</t>
        </is>
      </c>
      <c r="D85" s="42" t="inlineStr">
        <is>
          <t>Reference only</t>
        </is>
      </c>
    </row>
    <row r="86">
      <c r="A86" s="42" t="inlineStr">
        <is>
          <t>Last Trade Date</t>
        </is>
      </c>
      <c r="B86" s="46" t="inlineStr">
        <is>
          <t>TRADE_DT</t>
        </is>
      </c>
      <c r="C86" s="42" t="inlineStr">
        <is>
          <t>Date</t>
        </is>
      </c>
      <c r="D86" s="42" t="inlineStr">
        <is>
          <t>Freshness check</t>
        </is>
      </c>
    </row>
    <row r="89">
      <c r="A89" s="38" t="inlineStr">
        <is>
          <t>TRADING DESK RULES</t>
        </is>
      </c>
    </row>
    <row r="90" ht="30" customHeight="1">
      <c r="A90" s="47" t="inlineStr">
        <is>
          <t>1. AAA MMD is the benchmark - all concessions are additive spreads to this curve</t>
        </is>
      </c>
    </row>
    <row r="91" ht="30" customHeight="1">
      <c r="A91" s="47" t="inlineStr">
        <is>
          <t>2. Credit spread is PRIMARY driver - AA bonds should trade 5-12 bps wide of AAA</t>
        </is>
      </c>
    </row>
    <row r="92" ht="30" customHeight="1">
      <c r="A92" s="47" t="inlineStr">
        <is>
          <t>3. Sector matters: GO = tightest, then essential services, avoid healthcare/housing without extra cushion</t>
        </is>
      </c>
    </row>
    <row r="93" ht="30" customHeight="1">
      <c r="A93" s="47" t="inlineStr">
        <is>
          <t>4. Small issue size (&lt;$50MM) = automatic liquidity discount, may be hard to sell</t>
        </is>
      </c>
    </row>
    <row r="94" ht="30" customHeight="1">
      <c r="A94" s="47" t="inlineStr">
        <is>
          <t>5. NEVER bid inside ICE EVAL - it represents institutional bid-side liquidity</t>
        </is>
      </c>
    </row>
    <row r="95" ht="30" customHeight="1">
      <c r="A95" s="47" t="inlineStr">
        <is>
          <t>6. If total concession &gt;100 bps, verify this is appropriate for the credit/structure</t>
        </is>
      </c>
    </row>
    <row r="96" ht="30" customHeight="1">
      <c r="A96" s="47" t="inlineStr">
        <is>
          <t>7. Hospital bonds: be cautious, sector under stress, default risk elevated</t>
        </is>
      </c>
    </row>
    <row r="97" ht="30" customHeight="1">
      <c r="A97" s="47" t="inlineStr">
        <is>
          <t>8. For callable bonds in-the-money: verify negative convexity is worth the yield pickup</t>
        </is>
      </c>
    </row>
    <row r="98" ht="30" customHeight="1">
      <c r="A98" s="47" t="inlineStr">
        <is>
          <t>9. Bloomberg must be running and logged in for BDP functions to work</t>
        </is>
      </c>
    </row>
    <row r="99" ht="30" customHeight="1">
      <c r="A99" s="47" t="inlineStr">
        <is>
          <t>10. Press Ctrl+Alt+F9 if Bloomberg data doesn't auto-refresh</t>
        </is>
      </c>
    </row>
  </sheetData>
  <mergeCells count="23">
    <mergeCell ref="A34:E34"/>
    <mergeCell ref="A48:E48"/>
    <mergeCell ref="A98:E98"/>
    <mergeCell ref="A1:E1"/>
    <mergeCell ref="A94:E94"/>
    <mergeCell ref="A61:E61"/>
    <mergeCell ref="A6:E6"/>
    <mergeCell ref="A54:E54"/>
    <mergeCell ref="A41:E41"/>
    <mergeCell ref="A90:E90"/>
    <mergeCell ref="A99:E99"/>
    <mergeCell ref="A89:E89"/>
    <mergeCell ref="A18:E18"/>
    <mergeCell ref="A3:E3"/>
    <mergeCell ref="A95:E95"/>
    <mergeCell ref="A97:E97"/>
    <mergeCell ref="A91:E91"/>
    <mergeCell ref="A4:E4"/>
    <mergeCell ref="A96:E96"/>
    <mergeCell ref="A28:E28"/>
    <mergeCell ref="A93:E93"/>
    <mergeCell ref="A71:D71"/>
    <mergeCell ref="A92:E9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2026-01-12T21:47:21Z</dcterms:created>
  <dcterms:modified xmlns:dcterms="http://purl.org/dc/terms/" xmlns:xsi="http://www.w3.org/2001/XMLSchema-instance" xsi:type="dcterms:W3CDTF">2026-01-12T21:47:21Z</dcterms:modified>
</cp:coreProperties>
</file>