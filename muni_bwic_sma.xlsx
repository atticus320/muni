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WIC Evaluation" sheetId="1" state="visible" r:id="rId1"/>
    <sheet name="Tax Analysis" sheetId="2" state="visible" r:id="rId2"/>
    <sheet name="Portfolio Fit" sheetId="3" state="visible" r:id="rId3"/>
    <sheet name="Relative Value" sheetId="4" state="visible" r:id="rId4"/>
    <sheet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</font>
    <font>
      <i val="1"/>
      <color rgb="00666666"/>
    </font>
    <font>
      <b val="1"/>
      <color rgb="00C65911"/>
    </font>
    <font>
      <b val="1"/>
      <sz val="12"/>
    </font>
    <font>
      <b val="1"/>
      <sz val="14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6" fillId="0" borderId="0" pivotButton="0" quotePrefix="0" xfId="0"/>
    <xf numFmtId="164" fontId="0" fillId="4" borderId="1" pivotButton="0" quotePrefix="0" xfId="0"/>
    <xf numFmtId="0" fontId="4" fillId="7" borderId="1" pivotButton="0" quotePrefix="0" xfId="0"/>
    <xf numFmtId="0" fontId="7" fillId="4" borderId="1" pivotButton="0" quotePrefix="0" xfId="0"/>
    <xf numFmtId="0" fontId="8" fillId="7" borderId="1" pivotButton="0" quotePrefix="0" xfId="0"/>
    <xf numFmtId="0" fontId="7" fillId="6" borderId="1" pivotButton="0" quotePrefix="0" xfId="0"/>
    <xf numFmtId="0" fontId="9" fillId="2" borderId="0" applyAlignment="1" pivotButton="0" quotePrefix="0" xfId="0">
      <alignment horizontal="center"/>
    </xf>
    <xf numFmtId="0" fontId="0" fillId="4" borderId="0" pivotButton="0" quotePrefix="0" xfId="0"/>
    <xf numFmtId="0" fontId="4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3" customWidth="1" min="4" max="4"/>
    <col width="30" customWidth="1" min="5" max="5"/>
    <col width="18" customWidth="1" min="6" max="6"/>
    <col width="25" customWidth="1" min="7" max="7"/>
  </cols>
  <sheetData>
    <row r="1">
      <c r="A1" s="1" t="inlineStr">
        <is>
          <t>MUNI BWIC EVALUATION - SMA BUYER</t>
        </is>
      </c>
    </row>
    <row r="2">
      <c r="A2" s="2" t="inlineStr">
        <is>
          <t>Model Date: 2026-01-13 | Focus: Best Execution &amp; Client Suitability</t>
        </is>
      </c>
    </row>
    <row r="4">
      <c r="A4" s="3" t="inlineStr">
        <is>
          <t>BOND IDENTIFICATION</t>
        </is>
      </c>
      <c r="E4" s="3" t="inlineStr">
        <is>
          <t>CLIENT ACCOUNT PARAMETERS</t>
        </is>
      </c>
    </row>
    <row r="5">
      <c r="A5" s="4" t="inlineStr">
        <is>
          <t>CUSIP</t>
        </is>
      </c>
      <c r="B5" s="5" t="inlineStr">
        <is>
          <t>64971WBJ5</t>
        </is>
      </c>
      <c r="C5" s="6" t="inlineStr">
        <is>
          <t>← PASTE CUSIP</t>
        </is>
      </c>
      <c r="E5" s="4" t="inlineStr">
        <is>
          <t>Client State</t>
        </is>
      </c>
      <c r="F5" s="5" t="inlineStr">
        <is>
          <t>NY</t>
        </is>
      </c>
      <c r="G5" s="6" t="inlineStr">
        <is>
          <t>For state tax calc</t>
        </is>
      </c>
    </row>
    <row r="6">
      <c r="A6" s="4" t="inlineStr">
        <is>
          <t>Issuer</t>
        </is>
      </c>
      <c r="B6" s="7" t="inlineStr">
        <is>
          <t>New York City GO</t>
        </is>
      </c>
      <c r="E6" s="4" t="inlineStr">
        <is>
          <t>Federal Tax Bracket (%)</t>
        </is>
      </c>
      <c r="F6" s="5" t="n">
        <v>37</v>
      </c>
      <c r="G6" s="6" t="inlineStr">
        <is>
          <t>Top marginal rate</t>
        </is>
      </c>
    </row>
    <row r="7">
      <c r="A7" s="4" t="inlineStr">
        <is>
          <t>Security Type</t>
        </is>
      </c>
      <c r="B7" s="7" t="inlineStr">
        <is>
          <t>GO</t>
        </is>
      </c>
      <c r="C7" s="6" t="inlineStr">
        <is>
          <t>GO/Revenue/Hospital/IDB</t>
        </is>
      </c>
      <c r="E7" s="4" t="inlineStr">
        <is>
          <t>State Tax Rate (%)</t>
        </is>
      </c>
      <c r="F7" s="5" t="n">
        <v>8.82</v>
      </c>
      <c r="G7" s="6" t="inlineStr">
        <is>
          <t>State income tax</t>
        </is>
      </c>
    </row>
    <row r="8">
      <c r="A8" s="4" t="inlineStr">
        <is>
          <t>S&amp;P Rating</t>
        </is>
      </c>
      <c r="B8" s="7" t="inlineStr">
        <is>
          <t>AA</t>
        </is>
      </c>
      <c r="E8" s="4" t="inlineStr">
        <is>
          <t>Subject to AMT?</t>
        </is>
      </c>
      <c r="F8" s="5" t="inlineStr">
        <is>
          <t>No</t>
        </is>
      </c>
      <c r="G8" s="6" t="inlineStr">
        <is>
          <t>Yes/No</t>
        </is>
      </c>
    </row>
    <row r="9">
      <c r="A9" s="4" t="inlineStr">
        <is>
          <t>Moody's Rating</t>
        </is>
      </c>
      <c r="B9" s="7" t="inlineStr">
        <is>
          <t>Aa2</t>
        </is>
      </c>
      <c r="E9" s="4" t="inlineStr">
        <is>
          <t>Target Duration (yrs)</t>
        </is>
      </c>
      <c r="F9" s="5" t="n">
        <v>7</v>
      </c>
      <c r="G9" s="6" t="inlineStr">
        <is>
          <t>Portfolio target</t>
        </is>
      </c>
    </row>
    <row r="10">
      <c r="A10" s="4" t="inlineStr">
        <is>
          <t>State</t>
        </is>
      </c>
      <c r="B10" s="7" t="inlineStr">
        <is>
          <t>NY</t>
        </is>
      </c>
      <c r="E10" s="4" t="inlineStr">
        <is>
          <t>Min Credit Quality</t>
        </is>
      </c>
      <c r="F10" s="5" t="inlineStr">
        <is>
          <t>A-</t>
        </is>
      </c>
      <c r="G10" s="6" t="inlineStr">
        <is>
          <t>Investment guideline</t>
        </is>
      </c>
    </row>
    <row r="11">
      <c r="A11" s="4" t="inlineStr">
        <is>
          <t>Coupon (%)</t>
        </is>
      </c>
      <c r="B11" s="7" t="n">
        <v>5</v>
      </c>
      <c r="E11" s="4" t="inlineStr">
        <is>
          <t>Max Single Issuer (%)</t>
        </is>
      </c>
      <c r="F11" s="5" t="n">
        <v>5</v>
      </c>
      <c r="G11" s="6" t="inlineStr">
        <is>
          <t>Concentration limit</t>
        </is>
      </c>
    </row>
    <row r="12">
      <c r="A12" s="4" t="inlineStr">
        <is>
          <t>Maturity Date</t>
        </is>
      </c>
      <c r="B12" s="8" t="n">
        <v>49491</v>
      </c>
    </row>
    <row r="13">
      <c r="A13" s="4" t="inlineStr">
        <is>
          <t>First Call Date</t>
        </is>
      </c>
      <c r="B13" s="8" t="n">
        <v>47665</v>
      </c>
      <c r="C13" s="6" t="inlineStr">
        <is>
          <t>Blank if bullet</t>
        </is>
      </c>
      <c r="E13" s="3" t="inlineStr">
        <is>
          <t>TAX EFFICIENCY ANALYSIS</t>
        </is>
      </c>
    </row>
    <row r="14">
      <c r="A14" s="4" t="inlineStr">
        <is>
          <t>Call Price</t>
        </is>
      </c>
      <c r="B14" s="7" t="n">
        <v>100</v>
      </c>
      <c r="E14" t="inlineStr">
        <is>
          <t>Tax-Equivalent Yield (%)</t>
        </is>
      </c>
      <c r="F14" s="9">
        <f>B21/(1-(F6/100))</f>
        <v/>
      </c>
      <c r="G14" t="inlineStr">
        <is>
          <t>Federal TEY</t>
        </is>
      </c>
    </row>
    <row r="15">
      <c r="A15" s="4" t="inlineStr">
        <is>
          <t>AMT Subject</t>
        </is>
      </c>
      <c r="B15" s="7" t="inlineStr">
        <is>
          <t>No</t>
        </is>
      </c>
      <c r="C15" s="6" t="inlineStr">
        <is>
          <t>Yes/No</t>
        </is>
      </c>
      <c r="E15" t="inlineStr">
        <is>
          <t>Full TEY (Fed + State) (%)</t>
        </is>
      </c>
      <c r="F15" s="9">
        <f>IF(B10=F5,B21/(1-((F6+F7)/100)),B21/(1-(F6/100)))</f>
        <v/>
      </c>
      <c r="G15" t="inlineStr">
        <is>
          <t>If in-state bond</t>
        </is>
      </c>
    </row>
    <row r="16">
      <c r="A16" s="4" t="inlineStr">
        <is>
          <t>Bank Qualified</t>
        </is>
      </c>
      <c r="B16" s="7" t="inlineStr">
        <is>
          <t>No</t>
        </is>
      </c>
      <c r="C16" s="6" t="inlineStr">
        <is>
          <t>Yes/No</t>
        </is>
      </c>
      <c r="E16" t="inlineStr">
        <is>
          <t>State Tax Benefit</t>
        </is>
      </c>
      <c r="F16" s="10">
        <f>IF(B10=F5,"IN-STATE ✓","Out-of-state")</f>
        <v/>
      </c>
    </row>
    <row r="17">
      <c r="E17" t="inlineStr">
        <is>
          <t>AMT Status</t>
        </is>
      </c>
      <c r="F17" s="10">
        <f>IF(AND(F8="Yes",B15="Yes"),"⚠ AMT TAXABLE","OK")</f>
        <v/>
      </c>
    </row>
    <row r="18">
      <c r="A18" s="3" t="inlineStr">
        <is>
          <t>PURCHASE DETAILS</t>
        </is>
      </c>
      <c r="E18" s="11" t="inlineStr">
        <is>
          <t>De Minimis Check</t>
        </is>
      </c>
    </row>
    <row r="19">
      <c r="A19" s="4" t="inlineStr">
        <is>
          <t>Par Amount ($)</t>
        </is>
      </c>
      <c r="B19" s="5" t="n">
        <v>100000</v>
      </c>
      <c r="C19" s="6" t="inlineStr">
        <is>
          <t>← YOUR PURCHASE SIZE</t>
        </is>
      </c>
      <c r="E19" t="inlineStr">
        <is>
          <t>Years to Maturity</t>
        </is>
      </c>
      <c r="F19" s="10">
        <f>(B12-B20)/365</f>
        <v/>
      </c>
    </row>
    <row r="20">
      <c r="A20" s="4" t="inlineStr">
        <is>
          <t>Settlement Date</t>
        </is>
      </c>
      <c r="B20" s="12" t="n">
        <v>46044</v>
      </c>
      <c r="E20" t="inlineStr">
        <is>
          <t>De Minimis Threshold</t>
        </is>
      </c>
      <c r="F20" s="10">
        <f>100-(0.25*F19)</f>
        <v/>
      </c>
      <c r="G20" t="inlineStr">
        <is>
          <t>100 - (0.25 × years)</t>
        </is>
      </c>
    </row>
    <row r="21">
      <c r="A21" s="4" t="inlineStr">
        <is>
          <t>Offered Yield (%)</t>
        </is>
      </c>
      <c r="B21" s="5" t="n">
        <v>3.85</v>
      </c>
      <c r="C21" s="6" t="inlineStr">
        <is>
          <t>← BWIC OFFER YIELD</t>
        </is>
      </c>
      <c r="E21" t="inlineStr">
        <is>
          <t>Purchase Price</t>
        </is>
      </c>
      <c r="F21" s="10">
        <f>B22</f>
        <v/>
      </c>
    </row>
    <row r="22">
      <c r="A22" s="4" t="inlineStr">
        <is>
          <t>Offered Price</t>
        </is>
      </c>
      <c r="B22" s="10">
        <f>((B11/200)*(1-(1+B21/200)^(-((B12-B20)/365)*2))/(B21/200)+(100*(1+B21/200)^(-((B12-B20)/365)*2)))</f>
        <v/>
      </c>
      <c r="C22" s="6">
        <f>Calculated</f>
        <v/>
      </c>
      <c r="E22" t="inlineStr">
        <is>
          <t>DE MINIMIS STATUS</t>
        </is>
      </c>
      <c r="F22" s="9">
        <f>IF(B22&lt;F20,"⚠ ORDINARY INCOME TAX","OK - Cap Gains Treatment")</f>
        <v/>
      </c>
      <c r="G22" t="inlineStr">
        <is>
          <t>Critical for discounts</t>
        </is>
      </c>
    </row>
    <row r="24">
      <c r="A24" s="3" t="inlineStr">
        <is>
          <t>MARKET REFERENCE</t>
        </is>
      </c>
      <c r="E24" s="3" t="inlineStr">
        <is>
          <t>RELATIVE VALUE ASSESSMENT</t>
        </is>
      </c>
    </row>
    <row r="25">
      <c r="A25" s="4" t="inlineStr">
        <is>
          <t>AAA MMD Yield (%)</t>
        </is>
      </c>
      <c r="B25" s="5" t="n">
        <v>3.5</v>
      </c>
      <c r="C25" s="6" t="inlineStr">
        <is>
          <t>← MATCH MATURITY</t>
        </is>
      </c>
      <c r="E25" t="inlineStr">
        <is>
          <t>Spread to AAA MMD (bps)</t>
        </is>
      </c>
      <c r="F25" s="10">
        <f>(B21-B25)*100</f>
        <v/>
      </c>
    </row>
    <row r="26">
      <c r="A26" s="4" t="inlineStr">
        <is>
          <t>Bloomberg BVAL (%)</t>
        </is>
      </c>
      <c r="B26" s="7" t="n">
        <v>3.82</v>
      </c>
      <c r="C26" s="6" t="inlineStr">
        <is>
          <t>Mid-market eval</t>
        </is>
      </c>
      <c r="E26" t="inlineStr">
        <is>
          <t>Fair Spread (bps)</t>
        </is>
      </c>
      <c r="F26" s="10">
        <f>IFS(B8="AAA",0,B8="AA+",5,B8="AA",8,B8="AA-",12,B8="A+",18,B8="A",25,B8="A-",35,B8="BBB+",50,TRUE,30)+IFS(B7="GO",0,B7="Revenue",5,B7="Hospital",15,B7="Healthcare",15,B7="IDB",25,TRUE,8)</f>
        <v/>
      </c>
      <c r="G26" t="inlineStr">
        <is>
          <t>Credit + Sector</t>
        </is>
      </c>
    </row>
    <row r="27">
      <c r="A27" s="4" t="inlineStr">
        <is>
          <t>ICE EVAL (%)</t>
        </is>
      </c>
      <c r="B27" s="7" t="n">
        <v>3.88</v>
      </c>
      <c r="E27" t="inlineStr">
        <is>
          <t>Pickup vs Fair (bps)</t>
        </is>
      </c>
      <c r="F27" s="9">
        <f>F25-F26</f>
        <v/>
      </c>
      <c r="G27" t="inlineStr">
        <is>
          <t>Positive = cheap</t>
        </is>
      </c>
    </row>
    <row r="28">
      <c r="A28" s="4" t="inlineStr">
        <is>
          <t>Last Trade Yield (%)</t>
        </is>
      </c>
      <c r="B28" s="7" t="n">
        <v>3.8</v>
      </c>
      <c r="E28" t="inlineStr">
        <is>
          <t>Offer vs BVAL (bps)</t>
        </is>
      </c>
      <c r="F28" s="10">
        <f>(B21-B26)*100</f>
        <v/>
      </c>
      <c r="G28" t="inlineStr">
        <is>
          <t>Positive = offered cheap</t>
        </is>
      </c>
    </row>
    <row r="29">
      <c r="A29" s="4" t="inlineStr">
        <is>
          <t>Last Trade Date</t>
        </is>
      </c>
      <c r="B29" s="8" t="n">
        <v>46030</v>
      </c>
      <c r="E29" t="inlineStr">
        <is>
          <t>VALUE ASSESSMENT</t>
        </is>
      </c>
      <c r="F29" s="13">
        <f>IF(F27&gt;5,"ATTRACTIVE",IF(F27&gt;0,"FAIR",IF(F27&gt;-5,"SLIGHTLY RICH","RICH - PASS")))</f>
        <v/>
      </c>
    </row>
    <row r="31">
      <c r="A31" s="3" t="inlineStr">
        <is>
          <t>RISK ANALYTICS</t>
        </is>
      </c>
      <c r="E31" s="3" t="inlineStr">
        <is>
          <t>COMPLIANCE &amp; SUITABILITY</t>
        </is>
      </c>
    </row>
    <row r="32">
      <c r="A32" t="inlineStr">
        <is>
          <t>Modified Duration (yrs)</t>
        </is>
      </c>
      <c r="B32" s="10">
        <f>((B12-B20)/365)*(1-0.3*(B11/100))/(1+B21/200)</f>
        <v/>
      </c>
      <c r="E32" t="inlineStr">
        <is>
          <t>Duration vs Target</t>
        </is>
      </c>
      <c r="F32" s="10">
        <f>IF(ABS(B32-F9)&gt;2,"⚠ OUTSIDE TARGET",IF(ABS(B32-F9)&gt;1,"MONITOR","✓ OK"))</f>
        <v/>
      </c>
      <c r="G32">
        <f>B32-F9&amp;" yrs diff"</f>
        <v/>
      </c>
    </row>
    <row r="33">
      <c r="A33" t="inlineStr">
        <is>
          <t>DV01 ($ per bp)</t>
        </is>
      </c>
      <c r="B33" s="10">
        <f>B19*(B32/100)*0.01</f>
        <v/>
      </c>
      <c r="E33" t="inlineStr">
        <is>
          <t>Credit Quality Check</t>
        </is>
      </c>
      <c r="F33" s="10">
        <f>IF(OR(B8="BBB",B8="BBB+",B8="BBB-",B8="BB",B8="B",B8="NR"),"⚠ REVIEW REQUIRED","✓ OK")</f>
        <v/>
      </c>
    </row>
    <row r="34">
      <c r="A34" t="inlineStr">
        <is>
          <t>Yield to Worst</t>
        </is>
      </c>
      <c r="B34" s="10">
        <f>IF(B13="",B21,MAX(B21,B21+0.05))</f>
        <v/>
      </c>
      <c r="C34" t="inlineStr">
        <is>
          <t>Assumes call if callable</t>
        </is>
      </c>
      <c r="E34" t="inlineStr">
        <is>
          <t>Call Protection</t>
        </is>
      </c>
      <c r="F34" s="10">
        <f>IF(B13="","Bullet",IF((B13-B20)/365&lt;2,"⚠ &lt;2 YRS",IF((B13-B20)/365&lt;5,"~"&amp;ROUND((B13-B20)/365,1)&amp;" yrs","✓ "&amp;ROUND((B13-B20)/365,1)&amp;" yrs")))</f>
        <v/>
      </c>
    </row>
    <row r="35">
      <c r="A35" t="inlineStr">
        <is>
          <t>Annual Income ($)</t>
        </is>
      </c>
      <c r="B35" s="10">
        <f>B19*(B11/100)</f>
        <v/>
      </c>
      <c r="E35" t="inlineStr">
        <is>
          <t>Trade Freshness</t>
        </is>
      </c>
      <c r="F35" s="10">
        <f>IF((B20-B29)&gt;30,"⚠ STALE (&gt;"&amp;ROUND((B20-B29),0)&amp;" days)","✓ Recent")</f>
        <v/>
      </c>
    </row>
    <row r="36">
      <c r="A36" t="inlineStr">
        <is>
          <t>After-Tax Income ($)</t>
        </is>
      </c>
      <c r="B36" s="9">
        <f>IF(B10=F5,B35,B35*(1-(F7/100)))</f>
        <v/>
      </c>
      <c r="C36" t="inlineStr">
        <is>
          <t>Net of state tax if OOS</t>
        </is>
      </c>
    </row>
    <row r="38">
      <c r="A38" s="3" t="inlineStr">
        <is>
          <t>EXECUTION SUMMARY</t>
        </is>
      </c>
    </row>
    <row r="39">
      <c r="A39" t="inlineStr">
        <is>
          <t>Offered Yield</t>
        </is>
      </c>
      <c r="B39" s="14">
        <f>B21</f>
        <v/>
      </c>
      <c r="C39" t="inlineStr">
        <is>
          <t>%</t>
        </is>
      </c>
      <c r="E39" s="4" t="inlineStr">
        <is>
          <t>BUY RECOMMENDATION</t>
        </is>
      </c>
      <c r="F39" s="15">
        <f>IF(AND(F29&lt;&gt;"RICH - PASS",F22&lt;&gt;"⚠ ORDINARY INCOME TAX",F33="✓ OK"),"BUY",IF(F29="RICH - PASS","PASS - RICH","REVIEW FLAGS"))</f>
        <v/>
      </c>
    </row>
    <row r="40">
      <c r="A40" t="inlineStr">
        <is>
          <t>Offered Price</t>
        </is>
      </c>
      <c r="B40" s="16">
        <f>B22</f>
        <v/>
      </c>
      <c r="E40" t="inlineStr">
        <is>
          <t>Key Consideration</t>
        </is>
      </c>
      <c r="F40" s="10">
        <f>IF(F22&lt;&gt;"OK - Cap Gains Treatment","De minimis tax issue",IF(F28&lt;-3,"Offered through BVAL",IF(F27&gt;10,"Strong value","Standard execution")))</f>
        <v/>
      </c>
    </row>
    <row r="41">
      <c r="A41" t="inlineStr">
        <is>
          <t>Total Cost ($)</t>
        </is>
      </c>
      <c r="B41" s="15">
        <f>B19*(B40/100)</f>
        <v/>
      </c>
    </row>
  </sheetData>
  <mergeCells count="11">
    <mergeCell ref="E24:G24"/>
    <mergeCell ref="A1:G1"/>
    <mergeCell ref="E13:G13"/>
    <mergeCell ref="A31:C31"/>
    <mergeCell ref="E31:G31"/>
    <mergeCell ref="A18:C18"/>
    <mergeCell ref="A38:G38"/>
    <mergeCell ref="A2:G2"/>
    <mergeCell ref="E4:G4"/>
    <mergeCell ref="A4:C4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7" t="inlineStr">
        <is>
          <t>TAX-EQUIVALENT YIELD ANALYSIS</t>
        </is>
      </c>
    </row>
    <row r="3">
      <c r="A3" s="3" t="inlineStr">
        <is>
          <t>TEY BY TAX BRACKET</t>
        </is>
      </c>
    </row>
    <row r="4">
      <c r="A4" t="inlineStr">
        <is>
          <t>Tax-Exempt Yield</t>
        </is>
      </c>
      <c r="B4" s="18">
        <f>'BWIC Evaluation'!B21</f>
        <v/>
      </c>
    </row>
    <row r="5">
      <c r="A5" t="inlineStr">
        <is>
          <t>Federal Bracket (%)</t>
        </is>
      </c>
      <c r="B5" s="19" t="n">
        <v>24</v>
      </c>
      <c r="C5" s="19" t="n">
        <v>32</v>
      </c>
      <c r="D5" s="19" t="n">
        <v>35</v>
      </c>
      <c r="E5" s="19" t="n">
        <v>37</v>
      </c>
      <c r="F5" s="19" t="n">
        <v>40.8</v>
      </c>
    </row>
    <row r="6">
      <c r="A6" t="inlineStr">
        <is>
          <t>Tax-Equivalent Yield (%)</t>
        </is>
      </c>
      <c r="B6" s="20">
        <f>$B$4/(1-24/100)</f>
        <v/>
      </c>
      <c r="C6" s="20">
        <f>$B$4/(1-32/100)</f>
        <v/>
      </c>
      <c r="D6" s="20">
        <f>$B$4/(1-35/100)</f>
        <v/>
      </c>
      <c r="E6" s="20">
        <f>$B$4/(1-37/100)</f>
        <v/>
      </c>
      <c r="F6" s="20">
        <f>$B$4/(1-40.8/100)</f>
        <v/>
      </c>
    </row>
    <row r="7">
      <c r="A7" t="inlineStr">
        <is>
          <t>TEY Pickup vs Taxable</t>
        </is>
      </c>
      <c r="B7" t="inlineStr">
        <is>
          <t>If comparable taxable yields 5.5%:</t>
        </is>
      </c>
    </row>
    <row r="8">
      <c r="B8">
        <f>B6-5.5</f>
        <v/>
      </c>
      <c r="C8">
        <f>C6-5.5</f>
        <v/>
      </c>
      <c r="D8">
        <f>D6-5.5</f>
        <v/>
      </c>
      <c r="E8">
        <f>E6-5.5</f>
        <v/>
      </c>
      <c r="F8">
        <f>F6-5.5</f>
        <v/>
      </c>
    </row>
    <row r="11">
      <c r="A11" s="3" t="inlineStr">
        <is>
          <t>DE MINIMIS RULE EXPLANATION</t>
        </is>
      </c>
    </row>
    <row r="12">
      <c r="A12" t="inlineStr">
        <is>
          <t>The de minimis rule applies to bonds purchased at a market discount.</t>
        </is>
      </c>
    </row>
    <row r="13">
      <c r="A13" t="inlineStr">
        <is>
          <t>If purchase price &lt; (100 - 0.25 × years to maturity), discount is ORDINARY INCOME.</t>
        </is>
      </c>
    </row>
    <row r="14">
      <c r="A14" t="inlineStr">
        <is>
          <t>If purchase price ≥ threshold, discount qualifies for capital gains treatment.</t>
        </is>
      </c>
    </row>
    <row r="15">
      <c r="A15" t="inlineStr"/>
    </row>
    <row r="16">
      <c r="A16" t="inlineStr">
        <is>
          <t>Example: 10-year bond</t>
        </is>
      </c>
    </row>
    <row r="17">
      <c r="A17" t="inlineStr">
        <is>
          <t xml:space="preserve">  Threshold = 100 - (0.25 × 10) = 97.50</t>
        </is>
      </c>
    </row>
    <row r="18">
      <c r="A18" t="inlineStr">
        <is>
          <t xml:space="preserve">  Buy at 97.00 → Discount taxed as ordinary income (bad)</t>
        </is>
      </c>
    </row>
    <row r="19">
      <c r="A19" t="inlineStr">
        <is>
          <t xml:space="preserve">  Buy at 98.00 → Discount taxed as capital gain (better)</t>
        </is>
      </c>
    </row>
    <row r="20">
      <c r="A20" t="inlineStr"/>
    </row>
    <row r="21">
      <c r="A21" t="inlineStr">
        <is>
          <t>Impact: Ordinary income tax can be 37% vs 20% cap gains = 17% difference on discount!</t>
        </is>
      </c>
    </row>
    <row r="24">
      <c r="A24" s="3" t="inlineStr">
        <is>
          <t>AMT CONSIDERATIONS</t>
        </is>
      </c>
    </row>
    <row r="25">
      <c r="A25" t="inlineStr">
        <is>
          <t>Private Activity Bonds (PABs) may be subject to Alternative Minimum Tax.</t>
        </is>
      </c>
    </row>
    <row r="26">
      <c r="A26" t="inlineStr">
        <is>
          <t>If client is AMT-liable AND bond is AMT-subject, interest loses tax exemption.</t>
        </is>
      </c>
    </row>
    <row r="27">
      <c r="A27" t="inlineStr"/>
    </row>
    <row r="28">
      <c r="A28" t="inlineStr">
        <is>
          <t>Common AMT bonds: Industrial Development Bonds (IDBs), some housing bonds</t>
        </is>
      </c>
    </row>
    <row r="29">
      <c r="A29" t="inlineStr">
        <is>
          <t>Non-AMT: General Obligations, most essential service revenue bonds</t>
        </is>
      </c>
    </row>
    <row r="30">
      <c r="A30" t="inlineStr"/>
    </row>
    <row r="31">
      <c r="A31" t="inlineStr">
        <is>
          <t>For AMT clients, check 'AMT Subject' field in Bloomberg (AMT_FLG)</t>
        </is>
      </c>
    </row>
  </sheetData>
  <mergeCells count="4">
    <mergeCell ref="A3:F3"/>
    <mergeCell ref="A11:F11"/>
    <mergeCell ref="A1:F1"/>
    <mergeCell ref="A24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7" t="inlineStr">
        <is>
          <t>PORTFOLIO FIT ANALYSIS</t>
        </is>
      </c>
    </row>
    <row r="3">
      <c r="A3" s="3" t="inlineStr">
        <is>
          <t>DURATION LADDER</t>
        </is>
      </c>
    </row>
    <row r="4">
      <c r="A4" s="19" t="inlineStr">
        <is>
          <t>Maturity Bucket</t>
        </is>
      </c>
      <c r="B4" s="19" t="inlineStr">
        <is>
          <t>Target %</t>
        </is>
      </c>
      <c r="C4" s="19" t="inlineStr">
        <is>
          <t>Current %</t>
        </is>
      </c>
      <c r="D4" s="19" t="inlineStr">
        <is>
          <t>Room ($)</t>
        </is>
      </c>
      <c r="E4" s="19" t="inlineStr">
        <is>
          <t>This Bond Fits?</t>
        </is>
      </c>
    </row>
    <row r="5">
      <c r="A5" t="inlineStr">
        <is>
          <t>0-2 Years</t>
        </is>
      </c>
      <c r="B5" t="inlineStr">
        <is>
          <t>15%</t>
        </is>
      </c>
      <c r="C5" t="inlineStr">
        <is>
          <t>12%</t>
        </is>
      </c>
      <c r="D5" t="n">
        <v>150000</v>
      </c>
      <c r="E5" t="inlineStr">
        <is>
          <t>Check</t>
        </is>
      </c>
    </row>
    <row r="6">
      <c r="A6" t="inlineStr">
        <is>
          <t>2-5 Years</t>
        </is>
      </c>
      <c r="B6" t="inlineStr">
        <is>
          <t>25%</t>
        </is>
      </c>
      <c r="C6" t="inlineStr">
        <is>
          <t>28%</t>
        </is>
      </c>
      <c r="D6" t="n">
        <v>-150000</v>
      </c>
      <c r="E6" t="inlineStr">
        <is>
          <t>Full</t>
        </is>
      </c>
    </row>
    <row r="7">
      <c r="A7" t="inlineStr">
        <is>
          <t>5-10 Years</t>
        </is>
      </c>
      <c r="B7" t="inlineStr">
        <is>
          <t>35%</t>
        </is>
      </c>
      <c r="C7" t="inlineStr">
        <is>
          <t>30%</t>
        </is>
      </c>
      <c r="D7" t="n">
        <v>250000</v>
      </c>
      <c r="E7" t="inlineStr">
        <is>
          <t>Check</t>
        </is>
      </c>
    </row>
    <row r="8">
      <c r="A8" t="inlineStr">
        <is>
          <t>10-15 Years</t>
        </is>
      </c>
      <c r="B8" t="inlineStr">
        <is>
          <t>15%</t>
        </is>
      </c>
      <c r="C8" t="inlineStr">
        <is>
          <t>18%</t>
        </is>
      </c>
      <c r="D8" t="n">
        <v>-150000</v>
      </c>
      <c r="E8" t="inlineStr">
        <is>
          <t>Full</t>
        </is>
      </c>
    </row>
    <row r="9">
      <c r="A9" t="inlineStr">
        <is>
          <t>15+ Years</t>
        </is>
      </c>
      <c r="B9" t="inlineStr">
        <is>
          <t>10%</t>
        </is>
      </c>
      <c r="C9" t="inlineStr">
        <is>
          <t>12%</t>
        </is>
      </c>
      <c r="D9" t="n">
        <v>-100000</v>
      </c>
      <c r="E9" t="inlineStr">
        <is>
          <t>Full</t>
        </is>
      </c>
    </row>
    <row r="12">
      <c r="A12" s="3" t="inlineStr">
        <is>
          <t>SECTOR ALLOCATION</t>
        </is>
      </c>
    </row>
    <row r="13">
      <c r="A13" s="19" t="inlineStr">
        <is>
          <t>Sector</t>
        </is>
      </c>
      <c r="B13" s="19" t="inlineStr">
        <is>
          <t>Target %</t>
        </is>
      </c>
      <c r="C13" s="19" t="inlineStr">
        <is>
          <t>Current %</t>
        </is>
      </c>
      <c r="D13" s="19" t="inlineStr">
        <is>
          <t>Max %</t>
        </is>
      </c>
      <c r="E13" s="19" t="inlineStr">
        <is>
          <t>Status</t>
        </is>
      </c>
    </row>
    <row r="14">
      <c r="A14" t="inlineStr">
        <is>
          <t>General Obligation</t>
        </is>
      </c>
      <c r="B14" t="inlineStr">
        <is>
          <t>40%</t>
        </is>
      </c>
      <c r="C14" t="inlineStr">
        <is>
          <t>35%</t>
        </is>
      </c>
      <c r="D14" t="inlineStr">
        <is>
          <t>50%</t>
        </is>
      </c>
      <c r="E14" t="inlineStr">
        <is>
          <t>Room</t>
        </is>
      </c>
    </row>
    <row r="15">
      <c r="A15" t="inlineStr">
        <is>
          <t>Essential Services</t>
        </is>
      </c>
      <c r="B15" t="inlineStr">
        <is>
          <t>25%</t>
        </is>
      </c>
      <c r="C15" t="inlineStr">
        <is>
          <t>28%</t>
        </is>
      </c>
      <c r="D15" t="inlineStr">
        <is>
          <t>35%</t>
        </is>
      </c>
      <c r="E15" t="inlineStr">
        <is>
          <t>Room</t>
        </is>
      </c>
    </row>
    <row r="16">
      <c r="A16" t="inlineStr">
        <is>
          <t>Higher Ed</t>
        </is>
      </c>
      <c r="B16" t="inlineStr">
        <is>
          <t>15%</t>
        </is>
      </c>
      <c r="C16" t="inlineStr">
        <is>
          <t>12%</t>
        </is>
      </c>
      <c r="D16" t="inlineStr">
        <is>
          <t>20%</t>
        </is>
      </c>
      <c r="E16" t="inlineStr">
        <is>
          <t>Room</t>
        </is>
      </c>
    </row>
    <row r="17">
      <c r="A17" t="inlineStr">
        <is>
          <t>Healthcare</t>
        </is>
      </c>
      <c r="B17" t="inlineStr">
        <is>
          <t>10%</t>
        </is>
      </c>
      <c r="C17" t="inlineStr">
        <is>
          <t>15%</t>
        </is>
      </c>
      <c r="D17" t="inlineStr">
        <is>
          <t>15%</t>
        </is>
      </c>
      <c r="E17" t="inlineStr">
        <is>
          <t>At Max</t>
        </is>
      </c>
    </row>
    <row r="18">
      <c r="A18" t="inlineStr">
        <is>
          <t>Transportation</t>
        </is>
      </c>
      <c r="B18" t="inlineStr">
        <is>
          <t>10%</t>
        </is>
      </c>
      <c r="C18" t="inlineStr">
        <is>
          <t>8%</t>
        </is>
      </c>
      <c r="D18" t="inlineStr">
        <is>
          <t>15%</t>
        </is>
      </c>
      <c r="E18" t="inlineStr">
        <is>
          <t>Room</t>
        </is>
      </c>
    </row>
    <row r="19">
      <c r="A19" t="inlineStr">
        <is>
          <t>Housing/IDB</t>
        </is>
      </c>
      <c r="B19" t="inlineStr">
        <is>
          <t>0%</t>
        </is>
      </c>
      <c r="C19" t="inlineStr">
        <is>
          <t>2%</t>
        </is>
      </c>
      <c r="D19" t="inlineStr">
        <is>
          <t>5%</t>
        </is>
      </c>
      <c r="E19" t="inlineStr">
        <is>
          <t>Room</t>
        </is>
      </c>
    </row>
    <row r="22">
      <c r="A22" s="3" t="inlineStr">
        <is>
          <t>CREDIT QUALITY MIX</t>
        </is>
      </c>
    </row>
    <row r="23">
      <c r="A23" s="19" t="inlineStr">
        <is>
          <t>Rating</t>
        </is>
      </c>
      <c r="B23" s="19" t="inlineStr">
        <is>
          <t>Min %</t>
        </is>
      </c>
      <c r="C23" s="19" t="inlineStr">
        <is>
          <t>Current %</t>
        </is>
      </c>
      <c r="D23" s="19" t="inlineStr">
        <is>
          <t>Max %</t>
        </is>
      </c>
      <c r="E23" s="19" t="inlineStr">
        <is>
          <t>Status</t>
        </is>
      </c>
    </row>
    <row r="24">
      <c r="A24" t="inlineStr">
        <is>
          <t>AAA/Aaa</t>
        </is>
      </c>
      <c r="B24" t="inlineStr">
        <is>
          <t>10%</t>
        </is>
      </c>
      <c r="C24" t="inlineStr">
        <is>
          <t>15%</t>
        </is>
      </c>
      <c r="D24" t="inlineStr">
        <is>
          <t>100%</t>
        </is>
      </c>
      <c r="E24" t="inlineStr">
        <is>
          <t>OK</t>
        </is>
      </c>
    </row>
    <row r="25">
      <c r="A25" t="inlineStr">
        <is>
          <t>AA/Aa</t>
        </is>
      </c>
      <c r="B25" t="inlineStr">
        <is>
          <t>40%</t>
        </is>
      </c>
      <c r="C25" t="inlineStr">
        <is>
          <t>55%</t>
        </is>
      </c>
      <c r="D25" t="inlineStr">
        <is>
          <t>100%</t>
        </is>
      </c>
      <c r="E25" t="inlineStr">
        <is>
          <t>OK</t>
        </is>
      </c>
    </row>
    <row r="26">
      <c r="A26" t="inlineStr">
        <is>
          <t>A</t>
        </is>
      </c>
      <c r="B26" t="inlineStr">
        <is>
          <t>20%</t>
        </is>
      </c>
      <c r="C26" t="inlineStr">
        <is>
          <t>25%</t>
        </is>
      </c>
      <c r="D26" t="inlineStr">
        <is>
          <t>40%</t>
        </is>
      </c>
      <c r="E26" t="inlineStr">
        <is>
          <t>OK</t>
        </is>
      </c>
    </row>
    <row r="27">
      <c r="A27" t="inlineStr">
        <is>
          <t>BBB/Baa</t>
        </is>
      </c>
      <c r="B27" t="inlineStr">
        <is>
          <t>0%</t>
        </is>
      </c>
      <c r="C27" t="inlineStr">
        <is>
          <t>5%</t>
        </is>
      </c>
      <c r="D27" t="inlineStr">
        <is>
          <t>10%</t>
        </is>
      </c>
      <c r="E27" t="inlineStr">
        <is>
          <t>OK</t>
        </is>
      </c>
    </row>
  </sheetData>
  <mergeCells count="4">
    <mergeCell ref="A22:E22"/>
    <mergeCell ref="A1:E1"/>
    <mergeCell ref="A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7" t="inlineStr">
        <is>
          <t>RELATIVE VALUE COMPARISON</t>
        </is>
      </c>
    </row>
    <row r="3">
      <c r="A3" s="3" t="inlineStr">
        <is>
          <t>SPREAD CONTEXT (bps vs AAA MMD)</t>
        </is>
      </c>
    </row>
    <row r="4">
      <c r="A4" s="19" t="inlineStr">
        <is>
          <t>Credit/Sector</t>
        </is>
      </c>
      <c r="B4" s="19" t="inlineStr">
        <is>
          <t>Typical</t>
        </is>
      </c>
      <c r="C4" s="19" t="inlineStr">
        <is>
          <t>Tight</t>
        </is>
      </c>
      <c r="D4" s="19" t="inlineStr">
        <is>
          <t>Wide</t>
        </is>
      </c>
      <c r="E4" s="19" t="inlineStr">
        <is>
          <t>Current Offer</t>
        </is>
      </c>
    </row>
    <row r="5">
      <c r="A5" t="inlineStr">
        <is>
          <t>AA GO</t>
        </is>
      </c>
      <c r="B5" t="inlineStr">
        <is>
          <t>8-12</t>
        </is>
      </c>
      <c r="C5" t="inlineStr">
        <is>
          <t>5</t>
        </is>
      </c>
      <c r="D5" t="inlineStr">
        <is>
          <t>20</t>
        </is>
      </c>
      <c r="E5">
        <f>'BWIC Evaluation'!F25</f>
        <v/>
      </c>
    </row>
    <row r="6">
      <c r="A6" t="inlineStr">
        <is>
          <t>AA Revenue</t>
        </is>
      </c>
      <c r="B6" t="inlineStr">
        <is>
          <t>15-20</t>
        </is>
      </c>
      <c r="C6" t="inlineStr">
        <is>
          <t>10</t>
        </is>
      </c>
      <c r="D6" t="inlineStr">
        <is>
          <t>30</t>
        </is>
      </c>
      <c r="E6" t="inlineStr"/>
    </row>
    <row r="7">
      <c r="A7" t="inlineStr">
        <is>
          <t>A GO</t>
        </is>
      </c>
      <c r="B7" t="inlineStr">
        <is>
          <t>20-30</t>
        </is>
      </c>
      <c r="C7" t="inlineStr">
        <is>
          <t>15</t>
        </is>
      </c>
      <c r="D7" t="inlineStr">
        <is>
          <t>45</t>
        </is>
      </c>
      <c r="E7" t="inlineStr"/>
    </row>
    <row r="8">
      <c r="A8" t="inlineStr">
        <is>
          <t>A Hospital</t>
        </is>
      </c>
      <c r="B8" t="inlineStr">
        <is>
          <t>45-60</t>
        </is>
      </c>
      <c r="C8" t="inlineStr">
        <is>
          <t>35</t>
        </is>
      </c>
      <c r="D8" t="inlineStr">
        <is>
          <t>90</t>
        </is>
      </c>
      <c r="E8" t="inlineStr"/>
    </row>
    <row r="9">
      <c r="A9" t="inlineStr">
        <is>
          <t>A- IDB</t>
        </is>
      </c>
      <c r="B9" t="inlineStr">
        <is>
          <t>55-75</t>
        </is>
      </c>
      <c r="C9" t="inlineStr">
        <is>
          <t>45</t>
        </is>
      </c>
      <c r="D9" t="inlineStr">
        <is>
          <t>120</t>
        </is>
      </c>
      <c r="E9" t="inlineStr"/>
    </row>
    <row r="12">
      <c r="A12" s="3" t="inlineStr">
        <is>
          <t>ALTERNATIVES TO CONSIDER</t>
        </is>
      </c>
    </row>
    <row r="13">
      <c r="A13" t="inlineStr">
        <is>
          <t>If this bond is RICH, consider:</t>
        </is>
      </c>
    </row>
    <row r="14">
      <c r="A14" t="inlineStr">
        <is>
          <t>• Similar maturity from same state with higher spread</t>
        </is>
      </c>
    </row>
    <row r="15">
      <c r="A15" t="inlineStr">
        <is>
          <t>• Step up in credit (A to AA) if spread differential narrow</t>
        </is>
      </c>
    </row>
    <row r="16">
      <c r="A16" t="inlineStr">
        <is>
          <t>• Extend/shorten maturity if curve is steep/flat</t>
        </is>
      </c>
    </row>
    <row r="17">
      <c r="A17" t="inlineStr">
        <is>
          <t>• Pre-refunded bonds for AAA equivalent if spreads too tight</t>
        </is>
      </c>
    </row>
    <row r="18">
      <c r="A18" t="inlineStr">
        <is>
          <t>• Different sector with better relative value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</cols>
  <sheetData>
    <row r="1">
      <c r="A1" s="17" t="inlineStr">
        <is>
          <t>SPREAD ASSUMPTIONS &amp; GUIDELINES</t>
        </is>
      </c>
    </row>
    <row r="3">
      <c r="A3" s="3" t="inlineStr">
        <is>
          <t>CREDIT SPREADS (bps)</t>
        </is>
      </c>
    </row>
    <row r="4">
      <c r="A4" s="19" t="inlineStr">
        <is>
          <t>Rating</t>
        </is>
      </c>
      <c r="B4" s="19" t="inlineStr">
        <is>
          <t>Spread</t>
        </is>
      </c>
      <c r="C4" s="19" t="inlineStr">
        <is>
          <t>Range</t>
        </is>
      </c>
      <c r="D4" s="19" t="inlineStr">
        <is>
          <t>Notes</t>
        </is>
      </c>
    </row>
    <row r="5">
      <c r="A5" t="inlineStr">
        <is>
          <t>AAA</t>
        </is>
      </c>
      <c r="B5" t="n">
        <v>0</v>
      </c>
      <c r="C5" t="inlineStr">
        <is>
          <t>0</t>
        </is>
      </c>
      <c r="D5" t="inlineStr">
        <is>
          <t>Benchmark</t>
        </is>
      </c>
    </row>
    <row r="6">
      <c r="A6" t="inlineStr">
        <is>
          <t>AA+</t>
        </is>
      </c>
      <c r="B6" t="n">
        <v>5</v>
      </c>
      <c r="C6" t="inlineStr">
        <is>
          <t>3-8</t>
        </is>
      </c>
      <c r="D6" t="inlineStr"/>
    </row>
    <row r="7">
      <c r="A7" t="inlineStr">
        <is>
          <t>AA</t>
        </is>
      </c>
      <c r="B7" t="n">
        <v>8</v>
      </c>
      <c r="C7" t="inlineStr">
        <is>
          <t>5-12</t>
        </is>
      </c>
      <c r="D7" t="inlineStr"/>
    </row>
    <row r="8">
      <c r="A8" t="inlineStr">
        <is>
          <t>AA-</t>
        </is>
      </c>
      <c r="B8" t="n">
        <v>12</v>
      </c>
      <c r="C8" t="inlineStr">
        <is>
          <t>8-18</t>
        </is>
      </c>
      <c r="D8" t="inlineStr"/>
    </row>
    <row r="9">
      <c r="A9" t="inlineStr">
        <is>
          <t>A+</t>
        </is>
      </c>
      <c r="B9" t="n">
        <v>18</v>
      </c>
      <c r="C9" t="inlineStr">
        <is>
          <t>12-25</t>
        </is>
      </c>
      <c r="D9" t="inlineStr"/>
    </row>
    <row r="10">
      <c r="A10" t="inlineStr">
        <is>
          <t>A</t>
        </is>
      </c>
      <c r="B10" t="n">
        <v>25</v>
      </c>
      <c r="C10" t="inlineStr">
        <is>
          <t>18-35</t>
        </is>
      </c>
      <c r="D10" t="inlineStr"/>
    </row>
    <row r="11">
      <c r="A11" t="inlineStr">
        <is>
          <t>A-</t>
        </is>
      </c>
      <c r="B11" t="n">
        <v>35</v>
      </c>
      <c r="C11" t="inlineStr">
        <is>
          <t>28-50</t>
        </is>
      </c>
      <c r="D11" t="inlineStr"/>
    </row>
    <row r="12">
      <c r="A12" t="inlineStr">
        <is>
          <t>BBB+</t>
        </is>
      </c>
      <c r="B12" t="n">
        <v>50</v>
      </c>
      <c r="C12" t="inlineStr">
        <is>
          <t>40-70</t>
        </is>
      </c>
      <c r="D12" t="inlineStr">
        <is>
          <t>Review required</t>
        </is>
      </c>
    </row>
    <row r="15">
      <c r="A15" s="3" t="inlineStr">
        <is>
          <t>SECTOR SPREADS (bps)</t>
        </is>
      </c>
    </row>
    <row r="16">
      <c r="A16" s="19" t="inlineStr">
        <is>
          <t>Sector</t>
        </is>
      </c>
      <c r="B16" s="19" t="inlineStr">
        <is>
          <t>Spread</t>
        </is>
      </c>
      <c r="C16" s="19" t="inlineStr">
        <is>
          <t>Range</t>
        </is>
      </c>
      <c r="D16" s="19" t="inlineStr">
        <is>
          <t>Notes</t>
        </is>
      </c>
    </row>
    <row r="17">
      <c r="A17" t="inlineStr">
        <is>
          <t>GO</t>
        </is>
      </c>
      <c r="B17" t="n">
        <v>0</v>
      </c>
      <c r="C17" t="inlineStr">
        <is>
          <t>0</t>
        </is>
      </c>
      <c r="D17" t="inlineStr">
        <is>
          <t>Tightest</t>
        </is>
      </c>
    </row>
    <row r="18">
      <c r="A18" t="inlineStr">
        <is>
          <t>Essential Services</t>
        </is>
      </c>
      <c r="B18" t="n">
        <v>2</v>
      </c>
      <c r="C18" t="inlineStr">
        <is>
          <t>0-5</t>
        </is>
      </c>
      <c r="D18" t="inlineStr">
        <is>
          <t>Water, sewer</t>
        </is>
      </c>
    </row>
    <row r="19">
      <c r="A19" t="inlineStr">
        <is>
          <t>Higher Ed</t>
        </is>
      </c>
      <c r="B19" t="n">
        <v>5</v>
      </c>
      <c r="C19" t="inlineStr">
        <is>
          <t>3-10</t>
        </is>
      </c>
      <c r="D19" t="inlineStr"/>
    </row>
    <row r="20">
      <c r="A20" t="inlineStr">
        <is>
          <t>Transportation</t>
        </is>
      </c>
      <c r="B20" t="n">
        <v>8</v>
      </c>
      <c r="C20" t="inlineStr">
        <is>
          <t>5-15</t>
        </is>
      </c>
      <c r="D20" t="inlineStr"/>
    </row>
    <row r="21">
      <c r="A21" t="inlineStr">
        <is>
          <t>Healthcare</t>
        </is>
      </c>
      <c r="B21" t="n">
        <v>15</v>
      </c>
      <c r="C21" t="inlineStr">
        <is>
          <t>10-30</t>
        </is>
      </c>
      <c r="D21" t="inlineStr">
        <is>
          <t>Volatile</t>
        </is>
      </c>
    </row>
    <row r="22">
      <c r="A22" t="inlineStr">
        <is>
          <t>Housing</t>
        </is>
      </c>
      <c r="B22" t="n">
        <v>20</v>
      </c>
      <c r="C22" t="inlineStr">
        <is>
          <t>15-30</t>
        </is>
      </c>
      <c r="D22" t="inlineStr"/>
    </row>
    <row r="23">
      <c r="A23" t="inlineStr">
        <is>
          <t>IDB</t>
        </is>
      </c>
      <c r="B23" t="n">
        <v>25</v>
      </c>
      <c r="C23" t="inlineStr">
        <is>
          <t>20-40</t>
        </is>
      </c>
      <c r="D23" t="inlineStr">
        <is>
          <t>Private credit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2026-01-13T02:36:30Z</dcterms:created>
  <dcterms:modified xsi:type="dcterms:W3CDTF">2026-01-13T02:36:30Z</dcterms:modified>
</cp:coreProperties>
</file>