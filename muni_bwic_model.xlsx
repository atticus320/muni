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IC Pricing Model" sheetId="1" state="visible" r:id="rId1"/>
    <sheet xmlns:r="http://schemas.openxmlformats.org/officeDocument/2006/relationships" name="Assumptions &amp; Guardr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%"/>
    <numFmt numFmtId="166" formatCode="yyyy-mm-dd h:mm:ss"/>
    <numFmt numFmtId="167" formatCode="mm/dd/yyyy"/>
    <numFmt numFmtId="168" formatCode="0.0000%"/>
    <numFmt numFmtId="169" formatCode="0.000"/>
    <numFmt numFmtId="170" formatCode="$#,##0"/>
  </numFmts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  <u val="single"/>
    </font>
    <font>
      <b val="1"/>
      <color rgb="00FFFFFF"/>
      <sz val="11"/>
    </font>
    <font>
      <i val="1"/>
      <sz val="9"/>
    </font>
    <font>
      <b val="1"/>
      <color rgb="00FFFFFF"/>
      <sz val="12"/>
    </font>
    <font>
      <b val="1"/>
    </font>
    <font>
      <i val="1"/>
      <color rgb="00666666"/>
      <sz val="9"/>
    </font>
    <font/>
    <font>
      <sz val="10"/>
    </font>
    <font>
      <b val="1"/>
      <sz val="11"/>
    </font>
    <font>
      <sz val="9"/>
    </font>
    <font>
      <b val="1"/>
      <sz val="9"/>
    </font>
    <font>
      <b val="1"/>
      <sz val="10"/>
      <u val="single"/>
    </font>
    <font>
      <sz val="8"/>
    </font>
    <font>
      <i val="1"/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2E5C8A"/>
        <bgColor rgb="002E5C8A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  <fill>
      <patternFill patternType="solid">
        <fgColor rgb="00375623"/>
        <bgColor rgb="00375623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5" borderId="1" applyAlignment="1" pivotButton="0" quotePrefix="0" xfId="0">
      <alignment horizontal="left" vertical="center"/>
    </xf>
    <xf numFmtId="0" fontId="3" fillId="1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0" fillId="4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top" wrapText="1"/>
    </xf>
    <xf numFmtId="165" fontId="0" fillId="4" borderId="1" applyAlignment="1" pivotButton="0" quotePrefix="0" xfId="0">
      <alignment horizontal="right" vertical="center"/>
    </xf>
    <xf numFmtId="167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left"/>
    </xf>
    <xf numFmtId="1" fontId="0" fillId="6" borderId="1" applyAlignment="1" pivotButton="0" quotePrefix="0" xfId="0">
      <alignment horizontal="right" vertical="center"/>
    </xf>
    <xf numFmtId="1" fontId="6" fillId="7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left"/>
    </xf>
    <xf numFmtId="165" fontId="0" fillId="6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/>
    </xf>
    <xf numFmtId="165" fontId="10" fillId="8" borderId="1" applyAlignment="1" pivotButton="0" quotePrefix="0" xfId="0">
      <alignment horizontal="right" vertical="center"/>
    </xf>
    <xf numFmtId="0" fontId="8" fillId="0" borderId="1" pivotButton="0" quotePrefix="0" xfId="0"/>
    <xf numFmtId="2" fontId="0" fillId="6" borderId="1" applyAlignment="1" pivotButton="0" quotePrefix="0" xfId="0">
      <alignment horizontal="right" vertical="center"/>
    </xf>
    <xf numFmtId="168" fontId="0" fillId="6" borderId="1" applyAlignment="1" pivotButton="0" quotePrefix="0" xfId="0">
      <alignment horizontal="right" vertical="center"/>
    </xf>
    <xf numFmtId="0" fontId="10" fillId="0" borderId="1" pivotButton="0" quotePrefix="0" xfId="0"/>
    <xf numFmtId="169" fontId="10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170" fontId="5" fillId="9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15" customWidth="1" min="4" max="4"/>
    <col width="45" customWidth="1" min="6" max="6"/>
  </cols>
  <sheetData>
    <row r="1" ht="25" customHeight="1">
      <c r="A1" s="1" t="inlineStr">
        <is>
          <t>MUNICIPAL BOND BWIC PRICING MODEL</t>
        </is>
      </c>
    </row>
    <row r="2">
      <c r="A2" s="2" t="inlineStr">
        <is>
          <t>Model Date: 2026-01-12</t>
        </is>
      </c>
    </row>
    <row r="3"/>
    <row r="4" ht="20" customHeight="1">
      <c r="A4" s="3" t="inlineStr">
        <is>
          <t>SECTION 1: BOND DETAILS &amp; STRUCTURE</t>
        </is>
      </c>
      <c r="F4" s="4" t="inlineStr">
        <is>
          <t>QUICK START INSTRUCTIONS</t>
        </is>
      </c>
    </row>
    <row r="5" ht="18" customHeight="1">
      <c r="A5" s="5" t="inlineStr">
        <is>
          <t>CUSIP</t>
        </is>
      </c>
      <c r="B5" s="6" t="inlineStr">
        <is>
          <t>123456AB1</t>
        </is>
      </c>
      <c r="F5" s="7" t="inlineStr">
        <is>
          <t>1. Enter bond details in YELLOW cells (Sections 1-2)</t>
        </is>
      </c>
    </row>
    <row r="6" ht="18" customHeight="1">
      <c r="A6" s="5" t="inlineStr">
        <is>
          <t>Issuer / Description</t>
        </is>
      </c>
      <c r="B6" s="6" t="inlineStr">
        <is>
          <t>Texas State GO Bonds</t>
        </is>
      </c>
      <c r="F6" s="7" t="inlineStr">
        <is>
          <t>2. Select Market Regime dropdown (Section 3)</t>
        </is>
      </c>
    </row>
    <row r="7" ht="18" customHeight="1">
      <c r="A7" s="5" t="inlineStr">
        <is>
          <t>Sector</t>
        </is>
      </c>
      <c r="B7" s="6" t="inlineStr">
        <is>
          <t>General Obligation</t>
        </is>
      </c>
      <c r="F7" s="7" t="inlineStr">
        <is>
          <t>3. Review auto-calculated concession (Section 4)</t>
        </is>
      </c>
    </row>
    <row r="8" ht="18" customHeight="1">
      <c r="A8" s="5" t="inlineStr">
        <is>
          <t>Credit / Enhancement</t>
        </is>
      </c>
      <c r="B8" s="6" t="inlineStr">
        <is>
          <t>AA+ / Uninsured</t>
        </is>
      </c>
      <c r="F8" s="7" t="inlineStr">
        <is>
          <t>4. View recommended bid yield (Section 5)</t>
        </is>
      </c>
    </row>
    <row r="9" ht="18" customHeight="1">
      <c r="A9" s="5" t="inlineStr">
        <is>
          <t>Coupon (%)</t>
        </is>
      </c>
      <c r="B9" s="8" t="n">
        <v>5</v>
      </c>
      <c r="F9" s="7" t="inlineStr">
        <is>
          <t>5. Check price and dollar bid (Section 6)</t>
        </is>
      </c>
    </row>
    <row r="10" ht="18" customHeight="1">
      <c r="A10" s="5" t="inlineStr">
        <is>
          <t>Maturity Date</t>
        </is>
      </c>
      <c r="B10" s="9" t="n">
        <v>49536</v>
      </c>
      <c r="F10" s="7" t="inlineStr">
        <is>
          <t>6. Review trading signals (Section 7)</t>
        </is>
      </c>
    </row>
    <row r="11" ht="18" customHeight="1">
      <c r="A11" s="5" t="inlineStr">
        <is>
          <t>Call Date (if callable)</t>
        </is>
      </c>
      <c r="B11" s="9" t="n">
        <v>47710</v>
      </c>
      <c r="F11" s="7" t="inlineStr"/>
    </row>
    <row r="12" ht="18" customHeight="1">
      <c r="A12" s="5" t="inlineStr">
        <is>
          <t>Par Amount ($)</t>
        </is>
      </c>
      <c r="B12" s="10" t="n">
        <v>1000000</v>
      </c>
      <c r="F12" s="11" t="inlineStr">
        <is>
          <t>GREEN cells = Final outputs</t>
        </is>
      </c>
    </row>
    <row r="13" ht="18" customHeight="1">
      <c r="A13" s="5" t="inlineStr">
        <is>
          <t>Settlement Date</t>
        </is>
      </c>
      <c r="B13" s="9" t="n">
        <v>45677</v>
      </c>
      <c r="F13" s="11" t="inlineStr">
        <is>
          <t>GRAY cells = Calculated values</t>
        </is>
      </c>
    </row>
    <row r="14" ht="18" customHeight="1">
      <c r="F14" s="11" t="inlineStr">
        <is>
          <t>YELLOW cells = Your inputs</t>
        </is>
      </c>
    </row>
    <row r="15" ht="18" customHeight="1">
      <c r="A15" s="3" t="inlineStr">
        <is>
          <t>SECTION 2: MARKET CURVE LEVELS</t>
        </is>
      </c>
      <c r="F15" s="7" t="inlineStr"/>
    </row>
    <row r="16" ht="18" customHeight="1">
      <c r="A16" s="5" t="inlineStr">
        <is>
          <t>MMD Yield (%) - Generic Curve</t>
        </is>
      </c>
      <c r="B16" s="8" t="n">
        <v>3.5</v>
      </c>
      <c r="F16" s="7" t="inlineStr">
        <is>
          <t>Modify assumptions in 'Assumptions &amp; Guardrails' tab</t>
        </is>
      </c>
    </row>
    <row r="17" ht="18" customHeight="1">
      <c r="A17" s="5" t="inlineStr">
        <is>
          <t>Bloomberg BVAL Yield (%)</t>
        </is>
      </c>
      <c r="B17" s="8" t="n">
        <v>3.45</v>
      </c>
      <c r="F17" s="7" t="inlineStr">
        <is>
          <t>Formula logic is fully transparent - audit any cell</t>
        </is>
      </c>
    </row>
    <row r="18">
      <c r="A18" s="5" t="inlineStr">
        <is>
          <t>ICE EVAL Yield (%)</t>
        </is>
      </c>
      <c r="B18" s="8" t="n">
        <v>3.55</v>
      </c>
    </row>
    <row r="19">
      <c r="A19" s="5" t="inlineStr">
        <is>
          <t>Last TRACE Trade Yield (%) [Optional]</t>
        </is>
      </c>
      <c r="B19" s="8" t="inlineStr"/>
    </row>
    <row r="20">
      <c r="F20" s="12" t="inlineStr">
        <is>
          <t>EXAMPLE CUSIP SCENARIOS</t>
        </is>
      </c>
    </row>
    <row r="21" ht="20" customHeight="1">
      <c r="A21" s="3" t="inlineStr">
        <is>
          <t>SECTION 3: MARKET CONDITIONS</t>
        </is>
      </c>
      <c r="F21" s="13" t="inlineStr">
        <is>
          <t>Premium Callable</t>
        </is>
      </c>
      <c r="G21" s="14" t="inlineStr">
        <is>
          <t>5% cpn, callable 2030</t>
        </is>
      </c>
      <c r="H21" s="15" t="inlineStr">
        <is>
          <t>Expect +8-10 bps</t>
        </is>
      </c>
    </row>
    <row r="22">
      <c r="A22" s="16" t="inlineStr">
        <is>
          <t>Market Regime</t>
        </is>
      </c>
      <c r="B22" s="6" t="inlineStr">
        <is>
          <t>Neutral</t>
        </is>
      </c>
      <c r="C22" s="17" t="inlineStr">
        <is>
          <t>⬅ Select: Strong / Neutral / Weak</t>
        </is>
      </c>
      <c r="F22" s="13" t="inlineStr">
        <is>
          <t>Discount Bullet</t>
        </is>
      </c>
      <c r="G22" s="14" t="inlineStr">
        <is>
          <t>3.5% cpn, bullet</t>
        </is>
      </c>
      <c r="H22" s="15" t="inlineStr">
        <is>
          <t>Expect +8-10 bps</t>
        </is>
      </c>
    </row>
    <row r="23">
      <c r="F23" s="13" t="inlineStr">
        <is>
          <t>Large Block</t>
        </is>
      </c>
      <c r="G23" s="14" t="inlineStr">
        <is>
          <t>&gt;$2MM par</t>
        </is>
      </c>
      <c r="H23" s="15" t="inlineStr">
        <is>
          <t>Expect +4-6 bps</t>
        </is>
      </c>
    </row>
    <row r="24" ht="20" customHeight="1">
      <c r="A24" s="3" t="inlineStr">
        <is>
          <t>SECTION 4: CONCESSION ENGINE (Auto-Calculated)</t>
        </is>
      </c>
      <c r="F24" s="13" t="inlineStr">
        <is>
          <t>Odd Lot</t>
        </is>
      </c>
      <c r="G24" s="14" t="inlineStr">
        <is>
          <t>&lt;$100k par</t>
        </is>
      </c>
      <c r="H24" s="15" t="inlineStr">
        <is>
          <t>Expect +5-8 bps</t>
        </is>
      </c>
    </row>
    <row r="25">
      <c r="A25" s="18" t="inlineStr">
        <is>
          <t>Coupon Concession (bps)</t>
        </is>
      </c>
      <c r="B25" s="19">
        <f>IF(B9&gt;=5,5,IF(B9&gt;=4,2,8))</f>
        <v/>
      </c>
    </row>
    <row r="26">
      <c r="A26" s="18" t="inlineStr">
        <is>
          <t>Call Concession (bps)</t>
        </is>
      </c>
      <c r="B26" s="19">
        <f>IF(B11="",0,IF((B11-B13)/365&lt;=5,3,1))</f>
        <v/>
      </c>
    </row>
    <row r="27">
      <c r="A27" s="18" t="inlineStr">
        <is>
          <t>Size Concession (bps)</t>
        </is>
      </c>
      <c r="B27" s="19">
        <f>IF(B12&lt;100000,5,IF(B12&lt;=1000000,2,4))</f>
        <v/>
      </c>
    </row>
    <row r="28">
      <c r="A28" s="18" t="inlineStr">
        <is>
          <t>Market Regime Adj (bps)</t>
        </is>
      </c>
      <c r="B28" s="19">
        <f>IF(B22="Strong",-2,IF(B22="Weak",5,0))</f>
        <v/>
      </c>
    </row>
    <row r="29">
      <c r="A29" s="5" t="inlineStr">
        <is>
          <t>TOTAL CONCESSION (bps)</t>
        </is>
      </c>
      <c r="B29" s="20">
        <f>SUM(B25:B28)</f>
        <v/>
      </c>
    </row>
    <row r="30"/>
    <row r="31" ht="20" customHeight="1">
      <c r="A31" s="3" t="inlineStr">
        <is>
          <t>SECTION 5: BID GUARDRAIL FRAMEWORK</t>
        </is>
      </c>
    </row>
    <row r="32">
      <c r="A32" s="21" t="inlineStr">
        <is>
          <t>Step 1: MMD + Concession</t>
        </is>
      </c>
      <c r="B32" s="22">
        <f>B16+(B29/10000)</f>
        <v/>
      </c>
      <c r="C32" s="17" t="inlineStr">
        <is>
          <t>Generic fair level</t>
        </is>
      </c>
    </row>
    <row r="33">
      <c r="A33" s="21" t="inlineStr">
        <is>
          <t>Step 2: BVAL - Cushion</t>
        </is>
      </c>
      <c r="B33" s="22">
        <f>B17-('Assumptions &amp; Guardrails'!B21/10000)</f>
        <v/>
      </c>
      <c r="C33" s="17" t="inlineStr">
        <is>
          <t>BVAL w/ safety margin</t>
        </is>
      </c>
    </row>
    <row r="34">
      <c r="A34" s="21" t="inlineStr">
        <is>
          <t>Step 3: Inside Target</t>
        </is>
      </c>
      <c r="B34" s="22">
        <f>MIN(B32,B33)</f>
        <v/>
      </c>
      <c r="C34" s="17" t="inlineStr">
        <is>
          <t>Best justified level</t>
        </is>
      </c>
    </row>
    <row r="35">
      <c r="A35" s="21" t="inlineStr">
        <is>
          <t>Step 4: ICE Floor</t>
        </is>
      </c>
      <c r="B35" s="22">
        <f>B18</f>
        <v/>
      </c>
      <c r="C35" s="17" t="inlineStr">
        <is>
          <t>Liquidity floor</t>
        </is>
      </c>
    </row>
    <row r="36" ht="22" customHeight="1">
      <c r="A36" s="23" t="inlineStr">
        <is>
          <t>RECOMMENDED BID YIELD</t>
        </is>
      </c>
      <c r="B36" s="24">
        <f>MAX(B34,B35)</f>
        <v/>
      </c>
      <c r="C36" s="17" t="inlineStr">
        <is>
          <t>Final bid level</t>
        </is>
      </c>
    </row>
    <row r="37"/>
    <row r="38" ht="20" customHeight="1">
      <c r="A38" s="3" t="inlineStr">
        <is>
          <t>SECTION 6: PRICE CALCULATION (30/360 Muni Math)</t>
        </is>
      </c>
    </row>
    <row r="39">
      <c r="A39" s="25" t="inlineStr">
        <is>
          <t>Yield (basis)</t>
        </is>
      </c>
      <c r="B39" s="22">
        <f>B36</f>
        <v/>
      </c>
    </row>
    <row r="40">
      <c r="A40" s="25" t="inlineStr">
        <is>
          <t>Years to Maturity</t>
        </is>
      </c>
      <c r="B40" s="26">
        <f>(B10-B13)/365</f>
        <v/>
      </c>
    </row>
    <row r="41">
      <c r="A41" s="25" t="inlineStr">
        <is>
          <t>Periods to Maturity</t>
        </is>
      </c>
      <c r="B41" s="26">
        <f>B40*2</f>
        <v/>
      </c>
    </row>
    <row r="42">
      <c r="A42" s="25" t="inlineStr">
        <is>
          <t>Period Yield</t>
        </is>
      </c>
      <c r="B42" s="27">
        <f>B36/2</f>
        <v/>
      </c>
    </row>
    <row r="43">
      <c r="A43" s="25" t="inlineStr">
        <is>
          <t>Period Coupon</t>
        </is>
      </c>
      <c r="B43" s="27">
        <f>B9/2</f>
        <v/>
      </c>
    </row>
    <row r="44"/>
    <row r="45" ht="22" customHeight="1">
      <c r="A45" s="28" t="inlineStr">
        <is>
          <t>CLEAN PRICE</t>
        </is>
      </c>
      <c r="B45" s="29">
        <f>(B43/B42)*(1-1/((1+B42)^B41))+(100/((1+B42)^B41))</f>
        <v/>
      </c>
    </row>
    <row r="46">
      <c r="A46" s="25" t="inlineStr">
        <is>
          <t>Days Since Last Coupon</t>
        </is>
      </c>
      <c r="B46" s="19">
        <f>MOD(B13-DATE(YEAR(B10),MONTH(B10),DAY(B10)),180)</f>
        <v/>
      </c>
    </row>
    <row r="47">
      <c r="A47" s="28" t="inlineStr">
        <is>
          <t>ACCRUED INTEREST</t>
        </is>
      </c>
      <c r="B47" s="29">
        <f>(B9/2)*(B46/180)</f>
        <v/>
      </c>
    </row>
    <row r="48" ht="22" customHeight="1">
      <c r="A48" s="28" t="inlineStr">
        <is>
          <t>FULL (DIRTY) PRICE</t>
        </is>
      </c>
      <c r="B48" s="29">
        <f>B45+B47</f>
        <v/>
      </c>
    </row>
    <row r="49"/>
    <row r="50" ht="25" customHeight="1">
      <c r="A50" s="30" t="inlineStr">
        <is>
          <t>ALL-IN DOLLAR BID</t>
        </is>
      </c>
      <c r="B50" s="31">
        <f>B48/100*B12</f>
        <v/>
      </c>
    </row>
    <row r="51"/>
    <row r="52" ht="20" customHeight="1">
      <c r="A52" s="3" t="inlineStr">
        <is>
          <t>SECTION 7: TRADING SIGNALS &amp; FLAGS</t>
        </is>
      </c>
    </row>
    <row r="53">
      <c r="A53" s="16" t="inlineStr">
        <is>
          <t>Spread vs MMD (bps)</t>
        </is>
      </c>
      <c r="B53" s="19">
        <f>(B36-B16)*10000</f>
        <v/>
      </c>
      <c r="C53" s="32">
        <f>IF(B53&gt;='Assumptions &amp; Guardrails'!B21,"BUY - Attractive",IF(B53&gt;=0,"FAIR","CAUTION - Rich"))</f>
        <v/>
      </c>
    </row>
    <row r="54">
      <c r="A54" s="16" t="inlineStr">
        <is>
          <t>BVAL vs ICE Spread (bps)</t>
        </is>
      </c>
      <c r="B54" s="19">
        <f>(B17-B18)*10000</f>
        <v/>
      </c>
      <c r="C54" s="32">
        <f>IF(ABS(B54)&gt;'Assumptions &amp; Guardrails'!B24,"⚠ WIDE SPREAD - Check Data","OK")</f>
        <v/>
      </c>
    </row>
    <row r="55">
      <c r="A55" s="16" t="inlineStr">
        <is>
          <t>Call Protection Check</t>
        </is>
      </c>
      <c r="B55" s="32">
        <f>IF(B11="","N/A - Bullet",IF(B45&lt;(100-'Assumptions &amp; Guardrails'!B25*100),"✓ Safe","⚠ Near Call Price"))</f>
        <v/>
      </c>
    </row>
  </sheetData>
  <mergeCells count="24">
    <mergeCell ref="F13:I13"/>
    <mergeCell ref="F9:I9"/>
    <mergeCell ref="A4:D4"/>
    <mergeCell ref="A38:D38"/>
    <mergeCell ref="A52:D52"/>
    <mergeCell ref="F14:I14"/>
    <mergeCell ref="A31:D31"/>
    <mergeCell ref="F4:I4"/>
    <mergeCell ref="F11:I11"/>
    <mergeCell ref="A15:D15"/>
    <mergeCell ref="F16:I16"/>
    <mergeCell ref="A24:D24"/>
    <mergeCell ref="F10:I10"/>
    <mergeCell ref="F6:I6"/>
    <mergeCell ref="A1:M1"/>
    <mergeCell ref="F7:I7"/>
    <mergeCell ref="F12:I12"/>
    <mergeCell ref="F15:I15"/>
    <mergeCell ref="F5:I5"/>
    <mergeCell ref="F20:I20"/>
    <mergeCell ref="F17:I17"/>
    <mergeCell ref="F8:I8"/>
    <mergeCell ref="A21:D21"/>
    <mergeCell ref="A2:M2"/>
  </mergeCells>
  <conditionalFormatting sqref="C53">
    <cfRule type="cellIs" priority="1" operator="containsText" dxfId="0">
      <formula>"BUY"</formula>
    </cfRule>
    <cfRule type="cellIs" priority="2" operator="containsText" dxfId="1">
      <formula>"CAUTION"</formula>
    </cfRule>
  </conditionalFormatting>
  <conditionalFormatting sqref="C54">
    <cfRule type="cellIs" priority="3" operator="containsText" dxfId="2">
      <formula>"⚠"</formula>
    </cfRule>
  </conditionalFormatting>
  <conditionalFormatting sqref="B55">
    <cfRule type="cellIs" priority="4" operator="containsText" dxfId="2">
      <formula>"⚠"</formula>
    </cfRule>
  </conditionalFormatting>
  <dataValidations count="1">
    <dataValidation sqref="B22" showDropDown="0" showInputMessage="0" showErrorMessage="0" allowBlank="0" type="list">
      <formula1>"Strong,Neutral,Weak"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5" customWidth="1" min="4" max="4"/>
  </cols>
  <sheetData>
    <row r="1" ht="25" customHeight="1">
      <c r="A1" s="33" t="inlineStr">
        <is>
          <t>MUNICIPAL BOND BWIC MODEL - ASSUMPTIONS &amp; GUARDRAILS</t>
        </is>
      </c>
    </row>
    <row r="3">
      <c r="A3" s="34" t="inlineStr">
        <is>
          <t>CONCESSION FRAMEWORK (bps vs MMD)</t>
        </is>
      </c>
    </row>
    <row r="4">
      <c r="A4" s="35" t="inlineStr">
        <is>
          <t>Factor</t>
        </is>
      </c>
      <c r="B4" s="35" t="inlineStr">
        <is>
          <t>Condition</t>
        </is>
      </c>
      <c r="C4" s="35" t="inlineStr">
        <is>
          <t>Base Concession (bps)</t>
        </is>
      </c>
      <c r="D4" s="35" t="inlineStr">
        <is>
          <t>Notes</t>
        </is>
      </c>
    </row>
    <row r="5">
      <c r="A5" s="36" t="inlineStr">
        <is>
          <t>Coupon Structure</t>
        </is>
      </c>
      <c r="B5" s="36" t="inlineStr">
        <is>
          <t>Premium (≥5%)</t>
        </is>
      </c>
      <c r="C5" s="37" t="n">
        <v>5</v>
      </c>
      <c r="D5" s="36" t="inlineStr">
        <is>
          <t>Harder to sell, tax inefficient</t>
        </is>
      </c>
    </row>
    <row r="6">
      <c r="A6" s="36" t="inlineStr"/>
      <c r="B6" s="36" t="inlineStr">
        <is>
          <t>Par/Discount (4-5%)</t>
        </is>
      </c>
      <c r="C6" s="37" t="n">
        <v>2</v>
      </c>
      <c r="D6" s="36" t="inlineStr">
        <is>
          <t>Current market standard</t>
        </is>
      </c>
    </row>
    <row r="7">
      <c r="A7" s="36" t="inlineStr"/>
      <c r="B7" s="36" t="inlineStr">
        <is>
          <t>Deep Discount (&lt;4%)</t>
        </is>
      </c>
      <c r="C7" s="37" t="n">
        <v>8</v>
      </c>
      <c r="D7" s="36" t="inlineStr">
        <is>
          <t>Reinvestment risk</t>
        </is>
      </c>
    </row>
    <row r="8">
      <c r="A8" s="36" t="inlineStr">
        <is>
          <t>Callability</t>
        </is>
      </c>
      <c r="B8" s="36" t="inlineStr">
        <is>
          <t>Bullet (non-callable)</t>
        </is>
      </c>
      <c r="C8" s="37" t="n">
        <v>0</v>
      </c>
      <c r="D8" s="36" t="inlineStr">
        <is>
          <t>No call risk premium</t>
        </is>
      </c>
    </row>
    <row r="9">
      <c r="A9" s="36" t="inlineStr"/>
      <c r="B9" s="36" t="inlineStr">
        <is>
          <t>Callable w/in 5 yrs</t>
        </is>
      </c>
      <c r="C9" s="37" t="n">
        <v>3</v>
      </c>
      <c r="D9" s="36" t="inlineStr">
        <is>
          <t>Near-term call risk</t>
        </is>
      </c>
    </row>
    <row r="10">
      <c r="A10" s="36" t="inlineStr"/>
      <c r="B10" s="36" t="inlineStr">
        <is>
          <t>Callable beyond 5 yrs</t>
        </is>
      </c>
      <c r="C10" s="37" t="n">
        <v>1</v>
      </c>
      <c r="D10" s="36" t="inlineStr">
        <is>
          <t>Moderate call risk</t>
        </is>
      </c>
    </row>
    <row r="11">
      <c r="A11" s="36" t="inlineStr">
        <is>
          <t>Block Size</t>
        </is>
      </c>
      <c r="B11" s="36" t="inlineStr">
        <is>
          <t>Odd lot (&lt;100k)</t>
        </is>
      </c>
      <c r="C11" s="37" t="n">
        <v>5</v>
      </c>
      <c r="D11" s="36" t="inlineStr">
        <is>
          <t>Liquidity discount</t>
        </is>
      </c>
    </row>
    <row r="12">
      <c r="A12" s="36" t="inlineStr"/>
      <c r="B12" s="36" t="inlineStr">
        <is>
          <t>Block (100k-1MM)</t>
        </is>
      </c>
      <c r="C12" s="37" t="n">
        <v>2</v>
      </c>
      <c r="D12" s="36" t="inlineStr">
        <is>
          <t>Standard</t>
        </is>
      </c>
    </row>
    <row r="13">
      <c r="A13" s="36" t="inlineStr"/>
      <c r="B13" s="36" t="inlineStr">
        <is>
          <t>Large block (&gt;1MM)</t>
        </is>
      </c>
      <c r="C13" s="37" t="n">
        <v>4</v>
      </c>
      <c r="D13" s="36" t="inlineStr">
        <is>
          <t>Position risk</t>
        </is>
      </c>
    </row>
    <row r="14">
      <c r="A14" s="36" t="inlineStr">
        <is>
          <t>Market Regime</t>
        </is>
      </c>
      <c r="B14" s="36" t="inlineStr">
        <is>
          <t>Strong (bid support)</t>
        </is>
      </c>
      <c r="C14" s="37" t="n">
        <v>-2</v>
      </c>
      <c r="D14" s="36" t="inlineStr">
        <is>
          <t>Can bid tighter</t>
        </is>
      </c>
    </row>
    <row r="15">
      <c r="A15" s="36" t="inlineStr"/>
      <c r="B15" s="36" t="inlineStr">
        <is>
          <t>Neutral</t>
        </is>
      </c>
      <c r="C15" s="37" t="n">
        <v>0</v>
      </c>
      <c r="D15" s="36" t="inlineStr">
        <is>
          <t>Normal conditions</t>
        </is>
      </c>
    </row>
    <row r="16">
      <c r="A16" s="36" t="inlineStr"/>
      <c r="B16" s="36" t="inlineStr">
        <is>
          <t>Weak (volatile)</t>
        </is>
      </c>
      <c r="C16" s="37" t="n">
        <v>5</v>
      </c>
      <c r="D16" s="36" t="inlineStr">
        <is>
          <t>Need cushion</t>
        </is>
      </c>
    </row>
    <row r="19">
      <c r="A19" s="34" t="inlineStr">
        <is>
          <t>PRICING GUARDRAILS</t>
        </is>
      </c>
    </row>
    <row r="20">
      <c r="A20" s="35" t="inlineStr">
        <is>
          <t>Parameter</t>
        </is>
      </c>
      <c r="B20" s="35" t="inlineStr">
        <is>
          <t>Value</t>
        </is>
      </c>
      <c r="C20" s="35" t="inlineStr">
        <is>
          <t>Unit</t>
        </is>
      </c>
      <c r="D20" s="35" t="inlineStr">
        <is>
          <t>Purpose</t>
        </is>
      </c>
    </row>
    <row r="21">
      <c r="A21" s="36" t="inlineStr">
        <is>
          <t>BVAL Cushion</t>
        </is>
      </c>
      <c r="B21" s="38" t="n">
        <v>2</v>
      </c>
      <c r="C21" s="36" t="inlineStr">
        <is>
          <t>bps</t>
        </is>
      </c>
      <c r="D21" s="36" t="inlineStr">
        <is>
          <t>Safety margin below evaluated level</t>
        </is>
      </c>
    </row>
    <row r="22">
      <c r="A22" s="36" t="inlineStr">
        <is>
          <t>Cheap to MMD Threshold (Green)</t>
        </is>
      </c>
      <c r="B22" s="38" t="n">
        <v>5</v>
      </c>
      <c r="C22" s="36" t="inlineStr">
        <is>
          <t>bps</t>
        </is>
      </c>
      <c r="D22" s="36" t="inlineStr">
        <is>
          <t>Attractive relative value flag</t>
        </is>
      </c>
    </row>
    <row r="23">
      <c r="A23" s="36" t="inlineStr">
        <is>
          <t>Rich Warning Threshold (Red)</t>
        </is>
      </c>
      <c r="B23" s="38" t="n">
        <v>-2</v>
      </c>
      <c r="C23" s="36" t="inlineStr">
        <is>
          <t>bps</t>
        </is>
      </c>
      <c r="D23" s="36" t="inlineStr">
        <is>
          <t>Bid above all curves - caution</t>
        </is>
      </c>
    </row>
    <row r="24">
      <c r="A24" s="36" t="inlineStr">
        <is>
          <t>BVAL-ICE Spread Alert</t>
        </is>
      </c>
      <c r="B24" s="38" t="n">
        <v>5</v>
      </c>
      <c r="C24" s="36" t="inlineStr">
        <is>
          <t>bps</t>
        </is>
      </c>
      <c r="D24" s="36" t="inlineStr">
        <is>
          <t>Flag when curves diverge significantly</t>
        </is>
      </c>
    </row>
    <row r="25">
      <c r="A25" s="36" t="inlineStr">
        <is>
          <t>Call Protection Cushion</t>
        </is>
      </c>
      <c r="B25" s="38" t="n">
        <v>0.5</v>
      </c>
      <c r="C25" s="36" t="inlineStr">
        <is>
          <t>pts</t>
        </is>
      </c>
      <c r="D25" s="36" t="inlineStr">
        <is>
          <t>Min discount to call price</t>
        </is>
      </c>
    </row>
    <row r="28">
      <c r="A28" s="34" t="inlineStr">
        <is>
          <t>TRADING DESK RULES</t>
        </is>
      </c>
    </row>
    <row r="29" ht="30" customHeight="1">
      <c r="A29" s="39" t="inlineStr">
        <is>
          <t>1. NEVER bid inside ICE EVAL - it's the floor for institutional liquidity</t>
        </is>
      </c>
    </row>
    <row r="30" ht="30" customHeight="1">
      <c r="A30" s="39" t="inlineStr">
        <is>
          <t>2. Use BVAL as primary guide for bond-specific value, but stay below it</t>
        </is>
      </c>
    </row>
    <row r="31" ht="30" customHeight="1">
      <c r="A31" s="39" t="inlineStr">
        <is>
          <t>3. MMD + Concession represents fair generic level for the credit/structure</t>
        </is>
      </c>
    </row>
    <row r="32" ht="30" customHeight="1">
      <c r="A32" s="39" t="inlineStr">
        <is>
          <t>4. Inside Target = MIN(MMD+Concession, BVAL-Cushion) - best we can justify</t>
        </is>
      </c>
    </row>
    <row r="33" ht="30" customHeight="1">
      <c r="A33" s="39" t="inlineStr">
        <is>
          <t>5. Recommended Bid = MAX(ICE, Inside Target) - respects both value and liquidity</t>
        </is>
      </c>
    </row>
    <row r="34" ht="30" customHeight="1">
      <c r="A34" s="39" t="inlineStr">
        <is>
          <t>6. For callable bonds: verify bid price &lt; call price - 0.5pts minimum</t>
        </is>
      </c>
    </row>
    <row r="35" ht="30" customHeight="1">
      <c r="A35" s="39" t="inlineStr">
        <is>
          <t>7. When BVAL significantly inside ICE, proceed with caution (data quality issue)</t>
        </is>
      </c>
    </row>
    <row r="36" ht="30" customHeight="1">
      <c r="A36" s="39" t="inlineStr">
        <is>
          <t>8. Adjust market regime dropdown based on current conditions (Fed, flows, volatility)</t>
        </is>
      </c>
    </row>
  </sheetData>
  <mergeCells count="12">
    <mergeCell ref="A1:D1"/>
    <mergeCell ref="A31:D31"/>
    <mergeCell ref="A34:D34"/>
    <mergeCell ref="A35:D35"/>
    <mergeCell ref="A3:D3"/>
    <mergeCell ref="A30:D30"/>
    <mergeCell ref="A29:D29"/>
    <mergeCell ref="A19:D19"/>
    <mergeCell ref="A33:D33"/>
    <mergeCell ref="A28:D28"/>
    <mergeCell ref="A32:D3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2026-01-12T18:27:24Z</dcterms:created>
  <dcterms:modified xmlns:dcterms="http://purl.org/dc/terms/" xmlns:xsi="http://www.w3.org/2001/XMLSchema-instance" xsi:type="dcterms:W3CDTF">2026-01-12T18:27:24Z</dcterms:modified>
</cp:coreProperties>
</file>