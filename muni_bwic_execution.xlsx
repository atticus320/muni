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Discovery" sheetId="1" state="visible" r:id="rId1"/>
    <sheet name="Callable Analytics" sheetId="2" state="visible" r:id="rId2"/>
    <sheet name="Breakeven Analysis" sheetId="3" state="visible" r:id="rId3"/>
    <sheet name="Comparable Trades" sheetId="4" state="visible" r:id="rId4"/>
    <sheet name="BWIC Tracker" sheetId="5" state="visible" r:id="rId5"/>
    <sheet name="Spread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1"/>
    </font>
    <font>
      <b val="1"/>
    </font>
    <font>
      <b val="1"/>
      <sz val="12"/>
    </font>
    <font>
      <i val="1"/>
      <color rgb="00666666"/>
      <sz val="9"/>
    </font>
    <font>
      <b val="1"/>
      <sz val="14"/>
    </font>
    <font>
      <b val="1"/>
      <color rgb="00FFFFFF"/>
      <sz val="14"/>
    </font>
    <font>
      <i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4" fillId="7" borderId="1" pivotButton="0" quotePrefix="0" xfId="0"/>
    <xf numFmtId="164" fontId="0" fillId="4" borderId="1" pivotButton="0" quotePrefix="0" xfId="0"/>
    <xf numFmtId="0" fontId="0" fillId="7" borderId="1" pivotButton="0" quotePrefix="0" xfId="0"/>
    <xf numFmtId="0" fontId="5" fillId="4" borderId="1" pivotButton="0" quotePrefix="0" xfId="0"/>
    <xf numFmtId="0" fontId="7" fillId="0" borderId="0" pivotButton="0" quotePrefix="0" xfId="0"/>
    <xf numFmtId="0" fontId="7" fillId="7" borderId="1" pivotButton="0" quotePrefix="0" xfId="0"/>
    <xf numFmtId="0" fontId="8" fillId="2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9" fillId="0" borderId="0" pivotButton="0" quotePrefix="0" xfId="0"/>
    <xf numFmtId="0" fontId="4" fillId="6" borderId="1" pivotButton="0" quotePrefix="0" xfId="0"/>
    <xf numFmtId="0" fontId="10" fillId="3" borderId="1" pivotButton="0" quotePrefix="0" xfId="0"/>
    <xf numFmtId="164" fontId="0" fillId="8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8" borderId="0" pivotButton="0" quotePrefix="0" xfId="0"/>
    <xf numFmtId="9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4" customWidth="1" min="4" max="4"/>
    <col width="32" customWidth="1" min="5" max="5"/>
    <col width="16" customWidth="1" min="6" max="6"/>
    <col width="14" customWidth="1" min="7" max="7"/>
    <col width="4" customWidth="1" min="8" max="8"/>
    <col width="28" customWidth="1" min="9" max="9"/>
    <col width="14" customWidth="1" min="10" max="10"/>
  </cols>
  <sheetData>
    <row r="1">
      <c r="A1" s="1" t="inlineStr">
        <is>
          <t>BWIC LEVEL DISCOVERY - WHERE SHOULD THIS BOND TRADE?</t>
        </is>
      </c>
    </row>
    <row r="2">
      <c r="A2" s="2" t="inlineStr">
        <is>
          <t>Date: 2026-01-13 | Focus: Market Context &amp; Fair Value</t>
        </is>
      </c>
    </row>
    <row r="4">
      <c r="A4" s="3" t="inlineStr">
        <is>
          <t>BOND DETAILS</t>
        </is>
      </c>
      <c r="E4" s="3" t="inlineStr">
        <is>
          <t>MARKET REFERENCE POINTS</t>
        </is>
      </c>
      <c r="I4" s="3" t="inlineStr">
        <is>
          <t>FAIR VALUE BUILD-UP</t>
        </is>
      </c>
    </row>
    <row r="5">
      <c r="A5" s="4" t="inlineStr">
        <is>
          <t>CUSIP</t>
        </is>
      </c>
      <c r="B5" s="5" t="inlineStr">
        <is>
          <t>64971WBJ5</t>
        </is>
      </c>
      <c r="E5" s="4" t="inlineStr">
        <is>
          <t>AAA MMD (match maturity)</t>
        </is>
      </c>
      <c r="F5" s="5" t="n">
        <v>3.45</v>
      </c>
      <c r="G5" s="6" t="inlineStr">
        <is>
          <t>Benchmark</t>
        </is>
      </c>
      <c r="I5" t="inlineStr">
        <is>
          <t>Base: AAA MMD</t>
        </is>
      </c>
      <c r="J5" s="7">
        <f>F5*100</f>
        <v/>
      </c>
    </row>
    <row r="6">
      <c r="A6" s="4" t="inlineStr">
        <is>
          <t>Issuer</t>
        </is>
      </c>
      <c r="B6" s="8" t="inlineStr">
        <is>
          <t>New York City GO</t>
        </is>
      </c>
      <c r="E6" s="4" t="inlineStr">
        <is>
          <t>Bloomberg BVAL</t>
        </is>
      </c>
      <c r="F6" s="8" t="n">
        <v>3.8</v>
      </c>
      <c r="G6" s="6" t="inlineStr">
        <is>
          <t>Evaluated</t>
        </is>
      </c>
      <c r="I6" t="inlineStr">
        <is>
          <t>+ Credit Spread</t>
        </is>
      </c>
      <c r="J6" s="7">
        <f>IFS(LEFT(B11,3)="AAA",0,LEFT(B11,3)="AA+",5,LEFT(B11,2)="AA",8,LEFT(B11,3)="AA-",12,LEFT(B11,2)="A+",18,LEFT(B11,1)="A",25,TRUE,30)</f>
        <v/>
      </c>
    </row>
    <row r="7">
      <c r="A7" s="4" t="inlineStr">
        <is>
          <t>Coupon (%)</t>
        </is>
      </c>
      <c r="B7" s="8" t="n">
        <v>5</v>
      </c>
      <c r="E7" s="4" t="inlineStr">
        <is>
          <t>ICE EVAL</t>
        </is>
      </c>
      <c r="F7" s="8" t="n">
        <v>3.85</v>
      </c>
      <c r="G7" s="6" t="inlineStr">
        <is>
          <t>Evaluated</t>
        </is>
      </c>
      <c r="I7" t="inlineStr">
        <is>
          <t>+ Sector Spread</t>
        </is>
      </c>
      <c r="J7" s="7">
        <f>IFS(B12="GO",0,B12="Essential",2,B12="Water",2,B12="Sewer",2,B12="Electric",3,B12="Higher Ed",5,B12="Transport",8,B12="Toll",10,B12="Airport",10,B12="Hospital",15,B12="Healthcare",15,B12="Housing",20,B12="IDB",25,TRUE,8)</f>
        <v/>
      </c>
    </row>
    <row r="8">
      <c r="A8" s="4" t="inlineStr">
        <is>
          <t>Maturity</t>
        </is>
      </c>
      <c r="B8" s="9" t="n">
        <v>49491</v>
      </c>
      <c r="E8" s="4" t="inlineStr">
        <is>
          <t>Last TRACE Trade</t>
        </is>
      </c>
      <c r="F8" s="8" t="n">
        <v>3.78</v>
      </c>
      <c r="G8" s="6" t="inlineStr"/>
      <c r="I8" t="inlineStr">
        <is>
          <t>+ Coupon Adj</t>
        </is>
      </c>
      <c r="J8" s="7">
        <f>IF(B7&gt;=5,3,IF(B7&gt;=4,0,IF(B7&gt;=3,3,8)))</f>
        <v/>
      </c>
    </row>
    <row r="9">
      <c r="A9" s="4" t="inlineStr">
        <is>
          <t>Call Date</t>
        </is>
      </c>
      <c r="B9" s="9" t="n">
        <v>47665</v>
      </c>
      <c r="E9" s="4" t="inlineStr">
        <is>
          <t>Last Trade Date</t>
        </is>
      </c>
      <c r="F9" s="9" t="n">
        <v>46032</v>
      </c>
      <c r="G9" s="6" t="inlineStr"/>
      <c r="I9" t="inlineStr">
        <is>
          <t>+ Call Adj</t>
        </is>
      </c>
      <c r="J9" s="7">
        <f>IF(B9="",0,IF((B9-B16)/365&lt;2,6,IF((B9-B16)/365&lt;5,3,1)))</f>
        <v/>
      </c>
    </row>
    <row r="10">
      <c r="A10" s="4" t="inlineStr">
        <is>
          <t>Call Price</t>
        </is>
      </c>
      <c r="B10" s="8" t="n">
        <v>100</v>
      </c>
      <c r="E10" s="4" t="inlineStr">
        <is>
          <t>Dealer Offer (if any)</t>
        </is>
      </c>
      <c r="F10" s="5" t="inlineStr"/>
      <c r="G10" s="6" t="inlineStr">
        <is>
          <t>Axe/run</t>
        </is>
      </c>
      <c r="I10" t="inlineStr">
        <is>
          <t>+ Size Adj</t>
        </is>
      </c>
      <c r="J10" s="7">
        <f>IF(B14&gt;500,0,IF(B14&gt;200,2,IF(B14&gt;100,4,IF(B14&gt;50,8,12))))</f>
        <v/>
      </c>
    </row>
    <row r="11">
      <c r="A11" s="4" t="inlineStr">
        <is>
          <t>S&amp;P / Moody's</t>
        </is>
      </c>
      <c r="B11" s="8" t="inlineStr">
        <is>
          <t>AA / Aa2</t>
        </is>
      </c>
      <c r="E11" s="4" t="inlineStr">
        <is>
          <t>New Issue Comp</t>
        </is>
      </c>
      <c r="F11" s="5" t="n">
        <v>3.7</v>
      </c>
      <c r="G11" s="6" t="inlineStr">
        <is>
          <t>Recent deal</t>
        </is>
      </c>
      <c r="I11">
        <f> MODEL SPREAD (bps)</f>
        <v/>
      </c>
      <c r="J11" s="10">
        <f>SUM(J5:J10)</f>
        <v/>
      </c>
    </row>
    <row r="12">
      <c r="A12" s="4" t="inlineStr">
        <is>
          <t>Sector</t>
        </is>
      </c>
      <c r="B12" s="8" t="inlineStr">
        <is>
          <t>GO</t>
        </is>
      </c>
      <c r="I12">
        <f> MODEL YIELD (%)</f>
        <v/>
      </c>
      <c r="J12" s="10">
        <f>F5+(J11-J5)/100</f>
        <v/>
      </c>
    </row>
    <row r="13">
      <c r="A13" s="4" t="inlineStr">
        <is>
          <t>State</t>
        </is>
      </c>
      <c r="B13" s="8" t="inlineStr">
        <is>
          <t>NY</t>
        </is>
      </c>
      <c r="E13" s="3" t="inlineStr">
        <is>
          <t>SPREAD CONTEXT (bps vs MMD)</t>
        </is>
      </c>
    </row>
    <row r="14">
      <c r="A14" s="4" t="inlineStr">
        <is>
          <t>Issue Size ($MM)</t>
        </is>
      </c>
      <c r="B14" s="8" t="n">
        <v>250</v>
      </c>
      <c r="E14" t="inlineStr">
        <is>
          <t>Offered Spread</t>
        </is>
      </c>
      <c r="F14" s="10">
        <f>(B19-F5)*100</f>
        <v/>
      </c>
      <c r="G14" t="inlineStr">
        <is>
          <t>bps</t>
        </is>
      </c>
      <c r="I14" s="3" t="inlineStr">
        <is>
          <t>VALUE TRIANGULATION</t>
        </is>
      </c>
    </row>
    <row r="15">
      <c r="A15" s="4" t="inlineStr">
        <is>
          <t>Par Amount ($)</t>
        </is>
      </c>
      <c r="B15" s="5" t="n">
        <v>500000</v>
      </c>
      <c r="E15" t="inlineStr">
        <is>
          <t>BVAL Spread</t>
        </is>
      </c>
      <c r="F15" s="7">
        <f>(F6-F5)*100</f>
        <v/>
      </c>
      <c r="G15" t="inlineStr">
        <is>
          <t>bps</t>
        </is>
      </c>
      <c r="I15" t="inlineStr">
        <is>
          <t>Model Fair Value</t>
        </is>
      </c>
      <c r="J15" s="7">
        <f>J12</f>
        <v/>
      </c>
    </row>
    <row r="16">
      <c r="A16" s="4" t="inlineStr">
        <is>
          <t>Settlement</t>
        </is>
      </c>
      <c r="B16" s="11" t="n">
        <v>46044</v>
      </c>
      <c r="E16" t="inlineStr">
        <is>
          <t>Last Trade Spread</t>
        </is>
      </c>
      <c r="F16" s="7">
        <f>(F8-F5)*100</f>
        <v/>
      </c>
      <c r="G16" t="inlineStr">
        <is>
          <t>bps</t>
        </is>
      </c>
      <c r="I16" t="inlineStr">
        <is>
          <t>BVAL Mid</t>
        </is>
      </c>
      <c r="J16" s="7">
        <f>F6</f>
        <v/>
      </c>
    </row>
    <row r="17">
      <c r="E17" t="inlineStr">
        <is>
          <t>New Issue Spread</t>
        </is>
      </c>
      <c r="F17" s="7">
        <f>IF(F11="","-",(F11-F5)*100)</f>
        <v/>
      </c>
      <c r="G17" t="inlineStr">
        <is>
          <t>bps</t>
        </is>
      </c>
      <c r="I17" t="inlineStr">
        <is>
          <t>Last Trade</t>
        </is>
      </c>
      <c r="J17" s="7">
        <f>F8</f>
        <v/>
      </c>
    </row>
    <row r="18">
      <c r="A18" s="3" t="inlineStr">
        <is>
          <t>OFFERED LEVEL (from BWIC)</t>
        </is>
      </c>
      <c r="E18" t="inlineStr">
        <is>
          <t>Offer vs BVAL</t>
        </is>
      </c>
      <c r="F18" s="12">
        <f>F14-F15</f>
        <v/>
      </c>
      <c r="G18" t="inlineStr">
        <is>
          <t>+cheap / -rich</t>
        </is>
      </c>
      <c r="I18" t="inlineStr">
        <is>
          <t>Average (consensus)</t>
        </is>
      </c>
      <c r="J18" s="7">
        <f>AVERAGE(J15:J17)</f>
        <v/>
      </c>
    </row>
    <row r="19">
      <c r="A19" t="inlineStr">
        <is>
          <t>Offered Yield (%)</t>
        </is>
      </c>
      <c r="B19" s="13" t="n">
        <v>3.85</v>
      </c>
      <c r="C19" t="inlineStr">
        <is>
          <t>← ENTER</t>
        </is>
      </c>
      <c r="E19" t="inlineStr">
        <is>
          <t>Offer vs Last Trade</t>
        </is>
      </c>
      <c r="F19" s="12">
        <f>F14-F16</f>
        <v/>
      </c>
      <c r="G19" t="inlineStr">
        <is>
          <t>+cheap / -rich</t>
        </is>
      </c>
      <c r="I19" t="inlineStr">
        <is>
          <t>FAIR VALUE RANGE</t>
        </is>
      </c>
      <c r="J19" s="12">
        <f>MIN(J15:J17)&amp;" - "&amp;MAX(J15:J17)</f>
        <v/>
      </c>
    </row>
    <row r="20">
      <c r="A20" t="inlineStr">
        <is>
          <t>Offered Price</t>
        </is>
      </c>
      <c r="B20" s="7">
        <f>((B7/200)*(1-(1+B19/200)^(-(B8-B16)/365*2))/(B19/200)+(100*(1+B19/200)^(-(B8-B16)/365*2)))</f>
        <v/>
      </c>
    </row>
    <row r="21">
      <c r="A21" t="inlineStr">
        <is>
          <t>Dollar Amount</t>
        </is>
      </c>
      <c r="B21" s="7">
        <f>B15*B20/100</f>
        <v/>
      </c>
    </row>
    <row r="23">
      <c r="A23" s="3" t="inlineStr">
        <is>
          <t>LEVEL ASSESSMENT</t>
        </is>
      </c>
    </row>
    <row r="24">
      <c r="A24" t="inlineStr">
        <is>
          <t>Offered vs Model (bps)</t>
        </is>
      </c>
      <c r="B24" s="12">
        <f>F14-J11+J5</f>
        <v/>
      </c>
      <c r="C24" t="inlineStr">
        <is>
          <t>+cheap / -rich</t>
        </is>
      </c>
      <c r="E24" s="14" t="inlineStr">
        <is>
          <t>VERDICT</t>
        </is>
      </c>
      <c r="G24" s="15">
        <f>IF(B24&gt;8,"CHEAP - BUY",IF(B24&gt;3,"FAIR - BUY",IF(B24&gt;-3,"FAIR VALUE",IF(B24&gt;-8,"SLIGHTLY RICH","RICH - PASS"))))</f>
        <v/>
      </c>
    </row>
    <row r="25">
      <c r="A25" t="inlineStr">
        <is>
          <t>Offered vs Consensus (bps)</t>
        </is>
      </c>
      <c r="B25" s="12">
        <f>(B19-J18)*100</f>
        <v/>
      </c>
      <c r="E25" t="inlineStr">
        <is>
          <t>Suggested Bid Yield</t>
        </is>
      </c>
      <c r="G25" s="10">
        <f>MAX(J18-0.02,B19-0.03)</f>
        <v/>
      </c>
    </row>
    <row r="26">
      <c r="A26" t="inlineStr">
        <is>
          <t>Confidence Level</t>
        </is>
      </c>
      <c r="B26" s="7">
        <f>IF(ABS(F8-F6)&lt;0.05,"HIGH - BVAL/Trade aligned",IF(F9&lt;B16-30,"LOW - Stale trade","MEDIUM"))</f>
        <v/>
      </c>
      <c r="E26" t="inlineStr">
        <is>
          <t>Walk-Away Level</t>
        </is>
      </c>
      <c r="G26" s="7">
        <f>J18-0.05</f>
        <v/>
      </c>
    </row>
  </sheetData>
  <mergeCells count="12">
    <mergeCell ref="A1:J1"/>
    <mergeCell ref="I14:J14"/>
    <mergeCell ref="I4:J4"/>
    <mergeCell ref="A23:J23"/>
    <mergeCell ref="E13:G13"/>
    <mergeCell ref="E24:F24"/>
    <mergeCell ref="E25:F25"/>
    <mergeCell ref="A18:C18"/>
    <mergeCell ref="E4:G4"/>
    <mergeCell ref="E26:F26"/>
    <mergeCell ref="A2:J2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4" customWidth="1" min="4" max="4"/>
    <col width="35" customWidth="1" min="5" max="5"/>
    <col width="16" customWidth="1" min="6" max="6"/>
    <col width="20" customWidth="1" min="7" max="7"/>
  </cols>
  <sheetData>
    <row r="1">
      <c r="A1" s="16" t="inlineStr">
        <is>
          <t>CALLABLE BOND ANALYTICS - YTC vs YTM</t>
        </is>
      </c>
    </row>
    <row r="3">
      <c r="A3" s="3" t="inlineStr">
        <is>
          <t>CALL STRUCTURE</t>
        </is>
      </c>
      <c r="E3" s="3" t="inlineStr">
        <is>
          <t>CALL PROBABILITY FACTORS</t>
        </is>
      </c>
    </row>
    <row r="4">
      <c r="A4" t="inlineStr">
        <is>
          <t>First Call Date</t>
        </is>
      </c>
      <c r="B4" s="8">
        <f>'Level Discovery'!B9</f>
        <v/>
      </c>
      <c r="E4" t="inlineStr">
        <is>
          <t>Current Coupon</t>
        </is>
      </c>
      <c r="F4" s="8">
        <f>'Level Discovery'!B7</f>
        <v/>
      </c>
    </row>
    <row r="5">
      <c r="A5" t="inlineStr">
        <is>
          <t>Call Price</t>
        </is>
      </c>
      <c r="B5" s="8">
        <f>'Level Discovery'!B10</f>
        <v/>
      </c>
      <c r="E5" t="inlineStr">
        <is>
          <t>Current MMD (call date)</t>
        </is>
      </c>
      <c r="F5" s="5">
        <f>'Level Discovery'!F5</f>
        <v/>
      </c>
      <c r="G5" t="inlineStr">
        <is>
          <t>Approx - adjust for call</t>
        </is>
      </c>
    </row>
    <row r="6">
      <c r="A6" t="inlineStr">
        <is>
          <t>Years to Call</t>
        </is>
      </c>
      <c r="B6" s="7">
        <f>(B4-'Level Discovery'!B16)/365</f>
        <v/>
      </c>
      <c r="E6" t="inlineStr">
        <is>
          <t>Coupon vs Refi Rate</t>
        </is>
      </c>
      <c r="F6" s="7">
        <f>F4-F5</f>
        <v/>
      </c>
      <c r="G6" t="inlineStr">
        <is>
          <t>Higher = more likely call</t>
        </is>
      </c>
    </row>
    <row r="7">
      <c r="A7" t="inlineStr">
        <is>
          <t>Years to Maturity</t>
        </is>
      </c>
      <c r="B7" s="7">
        <f>('Level Discovery'!B8-'Level Discovery'!B16)/365</f>
        <v/>
      </c>
      <c r="E7" t="inlineStr">
        <is>
          <t>Refunding Savings (bps)</t>
        </is>
      </c>
      <c r="F7" s="7">
        <f>F6*100</f>
        <v/>
      </c>
    </row>
    <row r="8">
      <c r="A8" t="inlineStr">
        <is>
          <t>Call Protection</t>
        </is>
      </c>
      <c r="B8" s="12">
        <f>IF(B4="","BULLET - No call",IF(B6&lt;1,"MINIMAL (&lt;1yr)",IF(B6&lt;3,"SHORT (1-3yr)",IF(B6&lt;5,"MODERATE (3-5yr)","GOOD (5yr+)"))))</f>
        <v/>
      </c>
      <c r="E8" t="inlineStr">
        <is>
          <t>CALL PROBABILITY</t>
        </is>
      </c>
      <c r="F8" s="10">
        <f>IF(B4="","N/A - Bullet",IF(F7&gt;150,"HIGH (&gt;150bps savings)",IF(F7&gt;75,"MODERATE (75-150bps)",IF(F7&gt;25,"LOW (25-75bps)","UNLIKELY (&lt;25bps)"))))</f>
        <v/>
      </c>
    </row>
    <row r="10">
      <c r="A10" s="3" t="inlineStr">
        <is>
          <t>YIELD COMPARISON</t>
        </is>
      </c>
      <c r="E10" s="3" t="inlineStr">
        <is>
          <t>MAKE-WHOLE CONSIDERATIONS</t>
        </is>
      </c>
    </row>
    <row r="11">
      <c r="A11" t="inlineStr">
        <is>
          <t>Offered Yield (YTM)</t>
        </is>
      </c>
      <c r="B11" s="5">
        <f>'Level Discovery'!B19</f>
        <v/>
      </c>
      <c r="E11" t="inlineStr">
        <is>
          <t>Make-Whole Call?</t>
        </is>
      </c>
      <c r="F11" s="5" t="inlineStr">
        <is>
          <t>No</t>
        </is>
      </c>
      <c r="G11" t="inlineStr">
        <is>
          <t>Yes/No - check OS</t>
        </is>
      </c>
    </row>
    <row r="12">
      <c r="A12" t="inlineStr">
        <is>
          <t>Yield to Call (approx)</t>
        </is>
      </c>
      <c r="B12" s="7">
        <f>IF(B4="","N/A",(('Level Discovery'!B7+(B5-'Level Discovery'!B20)/B6)/((B5+'Level Discovery'!B20)/2))*100)</f>
        <v/>
      </c>
      <c r="C12" t="inlineStr">
        <is>
          <t>Simplified YTC</t>
        </is>
      </c>
      <c r="E12" t="inlineStr">
        <is>
          <t>MW Spread (if yes)</t>
        </is>
      </c>
      <c r="F12" s="5" t="inlineStr"/>
      <c r="G12" t="inlineStr">
        <is>
          <t>Typically +25-50 bps</t>
        </is>
      </c>
    </row>
    <row r="13">
      <c r="A13" t="inlineStr">
        <is>
          <t>Yield to Worst</t>
        </is>
      </c>
      <c r="B13" s="10">
        <f>IF(B4="",B11,MIN(B11,B12))</f>
        <v/>
      </c>
      <c r="E13" t="inlineStr">
        <is>
          <t>MW Analysis</t>
        </is>
      </c>
      <c r="F13" s="7">
        <f>IF(F11="Yes","MW call unlikely unless rates drop significantly","Standard optional call")</f>
        <v/>
      </c>
    </row>
    <row r="14">
      <c r="A14" t="inlineStr">
        <is>
          <t>YTC - YTM Spread (bps)</t>
        </is>
      </c>
      <c r="B14" s="7">
        <f>IF(B4="",0,(B12-B11)*100)</f>
        <v/>
      </c>
    </row>
    <row r="15">
      <c r="A15" t="inlineStr">
        <is>
          <t>LIKELY REDEMPTION</t>
        </is>
      </c>
      <c r="B15" s="10">
        <f>IF(B4="","MATURITY",IF(B12&lt;B11,"CALL (YTC&lt;YTM)",IF(B12&gt;B11+0.5,"MATURITY (YTC&gt;&gt;YTM)","UNCERTAIN")))</f>
        <v/>
      </c>
    </row>
    <row r="18">
      <c r="A18" s="3" t="inlineStr">
        <is>
          <t>TRADING IMPLICATIONS</t>
        </is>
      </c>
    </row>
    <row r="19">
      <c r="A19" t="inlineStr">
        <is>
          <t>Price to Call</t>
        </is>
      </c>
      <c r="B19" s="7">
        <f>IF(B4="","N/A",(('Level Discovery'!B7/200)*(1-(1+B12/200)^(-B6*2))/(B12/200)+(B5*(1+B12/200)^(-B6*2))))</f>
        <v/>
      </c>
      <c r="E19" s="4" t="inlineStr">
        <is>
          <t>KEY TAKEAWAY</t>
        </is>
      </c>
    </row>
    <row r="20">
      <c r="A20" t="inlineStr">
        <is>
          <t>Price to Maturity</t>
        </is>
      </c>
      <c r="B20" s="7">
        <f>'Level Discovery'!B20</f>
        <v/>
      </c>
      <c r="E20" s="17">
        <f>IF(B4="","Bullet bond - straightforward maturity pricing",IF(B15="CALL (YTC&lt;YTM)","Trading to CALL - use YTC and shorter duration. Premium likely lost at call.",IF(B15="MATURITY (YTC&gt;&gt;YTM)","Trading to MATURITY - issuer unlikely to call. Use YTM.","UNCERTAIN - price conservatively to call, but maturity possible. Use YTW.")))</f>
        <v/>
      </c>
    </row>
    <row r="21">
      <c r="A21" t="inlineStr">
        <is>
          <t>Price Differential</t>
        </is>
      </c>
      <c r="B21" s="7">
        <f>IF(B4="",0,B20-B19)</f>
        <v/>
      </c>
      <c r="C21" t="inlineStr">
        <is>
          <t>$ per $100 face</t>
        </is>
      </c>
    </row>
    <row r="22">
      <c r="A22" t="inlineStr">
        <is>
          <t>Duration to Worst</t>
        </is>
      </c>
      <c r="B22" s="12">
        <f>IF(B4="",B7,MIN(B6,B7))</f>
        <v/>
      </c>
      <c r="C22" t="inlineStr">
        <is>
          <t>Use for risk</t>
        </is>
      </c>
    </row>
  </sheetData>
  <mergeCells count="8">
    <mergeCell ref="A10:C10"/>
    <mergeCell ref="E10:G10"/>
    <mergeCell ref="A1:G1"/>
    <mergeCell ref="E19:G19"/>
    <mergeCell ref="A18:G18"/>
    <mergeCell ref="A3:C3"/>
    <mergeCell ref="E3:G3"/>
    <mergeCell ref="E20:G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6" t="inlineStr">
        <is>
          <t>BREAKEVEN &amp; CARRY ANALYSIS</t>
        </is>
      </c>
    </row>
    <row r="2">
      <c r="A2" s="18" t="inlineStr">
        <is>
          <t>How much can spreads widen before you're underwater?</t>
        </is>
      </c>
    </row>
    <row r="4">
      <c r="A4" s="3" t="inlineStr">
        <is>
          <t>POSITION SUMMARY</t>
        </is>
      </c>
    </row>
    <row r="5">
      <c r="A5" t="inlineStr">
        <is>
          <t>Par Amount</t>
        </is>
      </c>
      <c r="B5" s="7">
        <f>'Level Discovery'!B15</f>
        <v/>
      </c>
    </row>
    <row r="6">
      <c r="A6" t="inlineStr">
        <is>
          <t>Purchase Yield</t>
        </is>
      </c>
      <c r="B6" s="7">
        <f>'Level Discovery'!B19</f>
        <v/>
      </c>
    </row>
    <row r="7">
      <c r="A7" t="inlineStr">
        <is>
          <t>Purchase Price</t>
        </is>
      </c>
      <c r="B7" s="7">
        <f>'Level Discovery'!B20</f>
        <v/>
      </c>
    </row>
    <row r="8">
      <c r="A8" t="inlineStr">
        <is>
          <t>Duration (approx)</t>
        </is>
      </c>
      <c r="B8" s="7">
        <f>('Level Discovery'!B8-'Level Discovery'!B16)/365*0.85</f>
        <v/>
      </c>
    </row>
    <row r="9">
      <c r="A9" t="inlineStr">
        <is>
          <t>DV01 ($)</t>
        </is>
      </c>
      <c r="B9" s="7">
        <f>B5*B8/10000</f>
        <v/>
      </c>
    </row>
    <row r="10">
      <c r="A10" t="inlineStr">
        <is>
          <t>Annual Coupon ($)</t>
        </is>
      </c>
      <c r="B10" s="7">
        <f>B5*'Level Discovery'!B7/100</f>
        <v/>
      </c>
    </row>
    <row r="12">
      <c r="A12" s="3" t="inlineStr">
        <is>
          <t>SPREAD WIDENING SCENARIOS</t>
        </is>
      </c>
    </row>
    <row r="13">
      <c r="A13" t="inlineStr">
        <is>
          <t>Spread Change (bps)</t>
        </is>
      </c>
      <c r="B13" s="19" t="inlineStr">
        <is>
          <t>+5</t>
        </is>
      </c>
      <c r="C13" s="19" t="inlineStr">
        <is>
          <t>+10</t>
        </is>
      </c>
      <c r="D13" s="19" t="inlineStr">
        <is>
          <t>+15</t>
        </is>
      </c>
      <c r="E13" s="19" t="inlineStr">
        <is>
          <t>+25</t>
        </is>
      </c>
      <c r="F13" s="19" t="inlineStr">
        <is>
          <t>+50</t>
        </is>
      </c>
      <c r="G13" s="19" t="inlineStr">
        <is>
          <t>+100</t>
        </is>
      </c>
    </row>
    <row r="14">
      <c r="A14" t="inlineStr">
        <is>
          <t>Price Impact ($)</t>
        </is>
      </c>
      <c r="B14" s="7">
        <f>-$B$9*5</f>
        <v/>
      </c>
      <c r="C14" s="7">
        <f>-$B$9*10</f>
        <v/>
      </c>
      <c r="D14" s="7">
        <f>-$B$9*15</f>
        <v/>
      </c>
      <c r="E14" s="7">
        <f>-$B$9*25</f>
        <v/>
      </c>
      <c r="F14" s="7">
        <f>-$B$9*50</f>
        <v/>
      </c>
      <c r="G14" s="7">
        <f>-$B$9*100</f>
        <v/>
      </c>
    </row>
    <row r="15">
      <c r="A15" t="inlineStr">
        <is>
          <t>Price Impact (%)</t>
        </is>
      </c>
      <c r="B15" s="7">
        <f>B14/($B$5*$B$7/100)*100</f>
        <v/>
      </c>
      <c r="C15" s="7">
        <f>C14/($B$5*$B$7/100)*100</f>
        <v/>
      </c>
      <c r="D15" s="7">
        <f>D14/($B$5*$B$7/100)*100</f>
        <v/>
      </c>
      <c r="E15" s="7">
        <f>E14/($B$5*$B$7/100)*100</f>
        <v/>
      </c>
      <c r="F15" s="7">
        <f>F14/($B$5*$B$7/100)*100</f>
        <v/>
      </c>
      <c r="G15" s="7">
        <f>G14/($B$5*$B$7/100)*100</f>
        <v/>
      </c>
    </row>
    <row r="17">
      <c r="A17" s="3" t="inlineStr">
        <is>
          <t>CARRY vs SPREAD WIDENING</t>
        </is>
      </c>
    </row>
    <row r="18">
      <c r="A18" t="inlineStr">
        <is>
          <t>Holding Period</t>
        </is>
      </c>
      <c r="B18" s="19" t="inlineStr">
        <is>
          <t>1 mo</t>
        </is>
      </c>
      <c r="C18" s="19" t="inlineStr">
        <is>
          <t>3 mo</t>
        </is>
      </c>
      <c r="D18" s="19" t="inlineStr">
        <is>
          <t>6 mo</t>
        </is>
      </c>
      <c r="E18" s="19" t="inlineStr">
        <is>
          <t>1 yr</t>
        </is>
      </c>
      <c r="F18" s="19" t="inlineStr">
        <is>
          <t>2 yr</t>
        </is>
      </c>
      <c r="G18" s="19" t="inlineStr">
        <is>
          <t>3 yr</t>
        </is>
      </c>
    </row>
    <row r="19">
      <c r="A19" t="inlineStr">
        <is>
          <t>Coupon Income ($)</t>
        </is>
      </c>
      <c r="B19" s="7">
        <f>$B$10*1/12</f>
        <v/>
      </c>
      <c r="C19" s="7">
        <f>$B$10*3/12</f>
        <v/>
      </c>
      <c r="D19" s="7">
        <f>$B$10*6/12</f>
        <v/>
      </c>
      <c r="E19" s="7">
        <f>$B$10*12/12</f>
        <v/>
      </c>
      <c r="F19" s="7">
        <f>$B$10*24/12</f>
        <v/>
      </c>
      <c r="G19" s="7">
        <f>$B$10*36/12</f>
        <v/>
      </c>
    </row>
    <row r="20">
      <c r="A20" s="4" t="inlineStr">
        <is>
          <t>BREAKEVEN WIDENING (bps)</t>
        </is>
      </c>
      <c r="B20" s="10">
        <f>B19/$B$9</f>
        <v/>
      </c>
      <c r="C20" s="10">
        <f>C19/$B$9</f>
        <v/>
      </c>
      <c r="D20" s="10">
        <f>D19/$B$9</f>
        <v/>
      </c>
      <c r="E20" s="10">
        <f>E19/$B$9</f>
        <v/>
      </c>
      <c r="F20" s="10">
        <f>F19/$B$9</f>
        <v/>
      </c>
      <c r="G20" s="10">
        <f>G19/$B$9</f>
        <v/>
      </c>
    </row>
    <row r="21">
      <c r="A21" t="inlineStr">
        <is>
          <t>Interpretation</t>
        </is>
      </c>
      <c r="B21" s="18" t="inlineStr">
        <is>
          <t>Spreads can widen by this much before coupon income is offset</t>
        </is>
      </c>
    </row>
    <row r="24">
      <c r="A24" s="3" t="inlineStr">
        <is>
          <t>QUICK RULE OF THUMB</t>
        </is>
      </c>
    </row>
    <row r="25">
      <c r="A25" t="inlineStr">
        <is>
          <t>Monthly carry (bps of cushion)</t>
        </is>
      </c>
      <c r="B25" s="10">
        <f>B10/12/B9</f>
        <v/>
      </c>
      <c r="C25" t="inlineStr">
        <is>
          <t>bps/month</t>
        </is>
      </c>
    </row>
    <row r="26">
      <c r="A26" t="inlineStr">
        <is>
          <t>Risk/Reward</t>
        </is>
      </c>
      <c r="B26" s="12">
        <f>IF(B25&gt;3,"GOOD - &gt;3bps/mo carry",IF(B25&gt;1.5,"OK - 1.5-3bps/mo","THIN - &lt;1.5bps/mo"))</f>
        <v/>
      </c>
    </row>
  </sheetData>
  <mergeCells count="7">
    <mergeCell ref="B21:G21"/>
    <mergeCell ref="A1:G1"/>
    <mergeCell ref="A17:G17"/>
    <mergeCell ref="A12:G12"/>
    <mergeCell ref="A24:G24"/>
    <mergeCell ref="A2:G2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25" customWidth="1" min="9" max="9"/>
  </cols>
  <sheetData>
    <row r="1">
      <c r="A1" s="16" t="inlineStr">
        <is>
          <t>COMPARABLE TRADE LOG</t>
        </is>
      </c>
    </row>
    <row r="2">
      <c r="A2" s="18" t="inlineStr">
        <is>
          <t>Track recent trades for similar bonds - critical for level discovery</t>
        </is>
      </c>
    </row>
    <row r="4">
      <c r="A4" s="20" t="inlineStr">
        <is>
          <t>Date</t>
        </is>
      </c>
      <c r="B4" s="20" t="inlineStr">
        <is>
          <t>CUSIP/Issuer</t>
        </is>
      </c>
      <c r="C4" s="20" t="inlineStr">
        <is>
          <t>Cpn</t>
        </is>
      </c>
      <c r="D4" s="20" t="inlineStr">
        <is>
          <t>Maturity</t>
        </is>
      </c>
      <c r="E4" s="20" t="inlineStr">
        <is>
          <t>Rating</t>
        </is>
      </c>
      <c r="F4" s="20" t="inlineStr">
        <is>
          <t>Sector</t>
        </is>
      </c>
      <c r="G4" s="20" t="inlineStr">
        <is>
          <t>Yield</t>
        </is>
      </c>
      <c r="H4" s="20" t="inlineStr">
        <is>
          <t>Spread</t>
        </is>
      </c>
      <c r="I4" s="20" t="inlineStr">
        <is>
          <t>Notes</t>
        </is>
      </c>
    </row>
    <row r="5">
      <c r="A5" s="21" t="n">
        <v>46032</v>
      </c>
      <c r="B5" s="22" t="inlineStr">
        <is>
          <t>NYC GO 64971WBJ5</t>
        </is>
      </c>
      <c r="C5" s="22" t="n">
        <v>5</v>
      </c>
      <c r="D5" s="22" t="inlineStr">
        <is>
          <t>7/1/35</t>
        </is>
      </c>
      <c r="E5" s="22" t="inlineStr">
        <is>
          <t>AA</t>
        </is>
      </c>
      <c r="F5" s="22" t="inlineStr">
        <is>
          <t>GO</t>
        </is>
      </c>
      <c r="G5" s="22" t="n">
        <v>3.78</v>
      </c>
      <c r="H5" s="22" t="n">
        <v>33</v>
      </c>
      <c r="I5" s="22" t="inlineStr">
        <is>
          <t>TRACE print</t>
        </is>
      </c>
    </row>
    <row r="6">
      <c r="A6" s="21" t="n">
        <v>46030</v>
      </c>
      <c r="B6" s="22" t="inlineStr">
        <is>
          <t>NY State GO</t>
        </is>
      </c>
      <c r="C6" s="22" t="n">
        <v>4</v>
      </c>
      <c r="D6" s="22" t="inlineStr">
        <is>
          <t>8/1/35</t>
        </is>
      </c>
      <c r="E6" s="22" t="inlineStr">
        <is>
          <t>AA+</t>
        </is>
      </c>
      <c r="F6" s="22" t="inlineStr">
        <is>
          <t>GO</t>
        </is>
      </c>
      <c r="G6" s="22" t="n">
        <v>3.72</v>
      </c>
      <c r="H6" s="22" t="n">
        <v>27</v>
      </c>
      <c r="I6" s="22" t="inlineStr">
        <is>
          <t>Dealer offer</t>
        </is>
      </c>
    </row>
    <row r="7">
      <c r="A7" s="21" t="n">
        <v>46027</v>
      </c>
      <c r="B7" s="22" t="inlineStr">
        <is>
          <t>NJ Transit</t>
        </is>
      </c>
      <c r="C7" s="22" t="n">
        <v>5</v>
      </c>
      <c r="D7" s="22" t="inlineStr">
        <is>
          <t>6/1/35</t>
        </is>
      </c>
      <c r="E7" s="22" t="inlineStr">
        <is>
          <t>A+</t>
        </is>
      </c>
      <c r="F7" s="22" t="inlineStr">
        <is>
          <t>Transport</t>
        </is>
      </c>
      <c r="G7" s="22" t="n">
        <v>3.95</v>
      </c>
      <c r="H7" s="22" t="n">
        <v>50</v>
      </c>
      <c r="I7" s="22" t="inlineStr">
        <is>
          <t>BWIC hit</t>
        </is>
      </c>
    </row>
    <row r="8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</row>
    <row r="9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</row>
    <row r="10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</row>
    <row r="1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</row>
    <row r="12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</row>
    <row r="15">
      <c r="A15" s="3" t="inlineStr">
        <is>
          <t>COMP ANALYSIS</t>
        </is>
      </c>
    </row>
    <row r="16">
      <c r="A16" t="inlineStr">
        <is>
          <t>Average Comp Spread (bps)</t>
        </is>
      </c>
      <c r="B16" s="12">
        <f>AVERAGE(H5:H12)</f>
        <v/>
      </c>
    </row>
    <row r="17">
      <c r="A17" t="inlineStr">
        <is>
          <t>Comp Range</t>
        </is>
      </c>
      <c r="B17" s="7">
        <f>MIN(H5:H12)&amp;" - "&amp;MAX(H5:H12)</f>
        <v/>
      </c>
    </row>
    <row r="18">
      <c r="A18" t="inlineStr">
        <is>
          <t>Offered Spread</t>
        </is>
      </c>
      <c r="B18" s="7">
        <f>'Level Discovery'!F14</f>
        <v/>
      </c>
    </row>
    <row r="19">
      <c r="A19" t="inlineStr">
        <is>
          <t>vs Comp Average</t>
        </is>
      </c>
      <c r="B19" s="12">
        <f>B18-B16</f>
        <v/>
      </c>
      <c r="C19" t="inlineStr">
        <is>
          <t>+cheap / -rich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20" customWidth="1" min="10" max="10"/>
  </cols>
  <sheetData>
    <row r="1">
      <c r="A1" s="16" t="inlineStr">
        <is>
          <t>BWIC PARTICIPATION TRACKER</t>
        </is>
      </c>
    </row>
    <row r="2">
      <c r="A2" s="18" t="inlineStr">
        <is>
          <t>Track your hit rate, cover levels, and market trends</t>
        </is>
      </c>
    </row>
    <row r="4">
      <c r="A4" s="20" t="inlineStr">
        <is>
          <t>Date</t>
        </is>
      </c>
      <c r="B4" s="20" t="inlineStr">
        <is>
          <t>CUSIP</t>
        </is>
      </c>
      <c r="C4" s="20" t="inlineStr">
        <is>
          <t>Issuer</t>
        </is>
      </c>
      <c r="D4" s="20" t="inlineStr">
        <is>
          <t>Rating</t>
        </is>
      </c>
      <c r="E4" s="20" t="inlineStr">
        <is>
          <t>Your Bid</t>
        </is>
      </c>
      <c r="F4" s="20" t="inlineStr">
        <is>
          <t>Cover</t>
        </is>
      </c>
      <c r="G4" s="20" t="inlineStr">
        <is>
          <t>Winner</t>
        </is>
      </c>
      <c r="H4" s="20" t="inlineStr">
        <is>
          <t>Spread</t>
        </is>
      </c>
      <c r="I4" s="20" t="inlineStr">
        <is>
          <t>Hit?</t>
        </is>
      </c>
      <c r="J4" s="20" t="inlineStr">
        <is>
          <t>Notes</t>
        </is>
      </c>
    </row>
    <row r="5">
      <c r="A5" s="21" t="n">
        <v>46032</v>
      </c>
      <c r="B5" s="22" t="inlineStr">
        <is>
          <t>64971WBJ5</t>
        </is>
      </c>
      <c r="C5" s="22" t="inlineStr">
        <is>
          <t>NYC GO</t>
        </is>
      </c>
      <c r="D5" s="22" t="inlineStr">
        <is>
          <t>AA</t>
        </is>
      </c>
      <c r="E5" s="22" t="n">
        <v>3.85</v>
      </c>
      <c r="F5" s="22" t="n">
        <v>3.82</v>
      </c>
      <c r="G5" s="22" t="n">
        <v>3.8</v>
      </c>
      <c r="H5" s="22" t="n">
        <v>35</v>
      </c>
      <c r="I5" s="22" t="inlineStr">
        <is>
          <t>N</t>
        </is>
      </c>
      <c r="J5" s="22" t="inlineStr">
        <is>
          <t>Missed by 5bps</t>
        </is>
      </c>
    </row>
    <row r="6">
      <c r="A6" s="21" t="n">
        <v>46031</v>
      </c>
      <c r="B6" s="22" t="inlineStr">
        <is>
          <t>123456AB7</t>
        </is>
      </c>
      <c r="C6" s="22" t="inlineStr">
        <is>
          <t>CA Water</t>
        </is>
      </c>
      <c r="D6" s="22" t="inlineStr">
        <is>
          <t>AA+</t>
        </is>
      </c>
      <c r="E6" s="22" t="n">
        <v>3.65</v>
      </c>
      <c r="F6" s="22" t="n">
        <v>3.68</v>
      </c>
      <c r="G6" s="22" t="n">
        <v>3.65</v>
      </c>
      <c r="H6" s="22" t="n">
        <v>28</v>
      </c>
      <c r="I6" s="22" t="inlineStr">
        <is>
          <t>Y</t>
        </is>
      </c>
      <c r="J6" s="22" t="inlineStr">
        <is>
          <t>Hit - good value</t>
        </is>
      </c>
    </row>
    <row r="7">
      <c r="A7" s="21" t="n">
        <v>46030</v>
      </c>
      <c r="B7" s="22" t="inlineStr">
        <is>
          <t>789012CD3</t>
        </is>
      </c>
      <c r="C7" s="22" t="inlineStr">
        <is>
          <t>TX Hospital</t>
        </is>
      </c>
      <c r="D7" s="22" t="inlineStr">
        <is>
          <t>A</t>
        </is>
      </c>
      <c r="E7" s="22" t="n">
        <v>4.1</v>
      </c>
      <c r="F7" s="22" t="n">
        <v>4.05</v>
      </c>
      <c r="G7" s="22" t="n">
        <v>4.02</v>
      </c>
      <c r="H7" s="22" t="n">
        <v>55</v>
      </c>
      <c r="I7" s="22" t="inlineStr">
        <is>
          <t>N</t>
        </is>
      </c>
      <c r="J7" s="22" t="inlineStr">
        <is>
          <t>Too aggressive</t>
        </is>
      </c>
    </row>
    <row r="8">
      <c r="A8" s="23" t="inlineStr"/>
      <c r="B8" s="23" t="inlineStr"/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</row>
    <row r="9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  <c r="J9" s="23" t="inlineStr"/>
    </row>
    <row r="10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</row>
    <row r="13">
      <c r="A13" s="3" t="inlineStr">
        <is>
          <t>STATISTICS</t>
        </is>
      </c>
    </row>
    <row r="14">
      <c r="A14" t="inlineStr">
        <is>
          <t>Total BWICs</t>
        </is>
      </c>
      <c r="B14" s="7">
        <f>COUNTA(A5:A12)</f>
        <v/>
      </c>
      <c r="D14" t="inlineStr">
        <is>
          <t>Target Hit Rate</t>
        </is>
      </c>
      <c r="E14" s="24" t="inlineStr">
        <is>
          <t>25-35%</t>
        </is>
      </c>
    </row>
    <row r="15">
      <c r="A15" t="inlineStr">
        <is>
          <t>Hit Rate</t>
        </is>
      </c>
      <c r="B15" s="25">
        <f>COUNTIF(I5:I12,"Y")/B14</f>
        <v/>
      </c>
      <c r="D15" t="inlineStr">
        <is>
          <t>Interpretation</t>
        </is>
      </c>
      <c r="E15" s="18" t="inlineStr">
        <is>
          <t>Hit rate too high = bidding too aggressively. Too low = leaving bonds on table.</t>
        </is>
      </c>
    </row>
    <row r="16">
      <c r="A16" t="inlineStr">
        <is>
          <t>Avg Miss (bps)</t>
        </is>
      </c>
      <c r="B16" s="7">
        <f>AVERAGEIF(I5:I12,"N",(F5:F12))-AVERAGEIF(I5:I12,"N",(E5:E12))</f>
        <v/>
      </c>
    </row>
  </sheetData>
  <mergeCells count="4">
    <mergeCell ref="A1:J1"/>
    <mergeCell ref="E15:J15"/>
    <mergeCell ref="A13:J1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6" t="inlineStr">
        <is>
          <t>SPREAD REFERENCE TABLES</t>
        </is>
      </c>
    </row>
    <row r="3">
      <c r="A3" s="3" t="inlineStr">
        <is>
          <t>CREDIT SPREADS (bps vs AAA MMD)</t>
        </is>
      </c>
    </row>
    <row r="4">
      <c r="A4" s="19" t="inlineStr">
        <is>
          <t>Rating</t>
        </is>
      </c>
      <c r="B4" s="19" t="inlineStr">
        <is>
          <t>Typical</t>
        </is>
      </c>
      <c r="C4" s="19" t="inlineStr">
        <is>
          <t>Tight</t>
        </is>
      </c>
      <c r="D4" s="19" t="inlineStr">
        <is>
          <t>Wide</t>
        </is>
      </c>
      <c r="E4" s="19" t="inlineStr">
        <is>
          <t>Current</t>
        </is>
      </c>
      <c r="F4" s="19" t="inlineStr">
        <is>
          <t>Notes</t>
        </is>
      </c>
    </row>
    <row r="5">
      <c r="A5" s="23" t="inlineStr">
        <is>
          <t>AAA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inlineStr">
        <is>
          <t>Benchmark</t>
        </is>
      </c>
    </row>
    <row r="6">
      <c r="A6" s="23" t="inlineStr">
        <is>
          <t>AA+</t>
        </is>
      </c>
      <c r="B6" s="23" t="n">
        <v>5</v>
      </c>
      <c r="C6" s="23" t="n">
        <v>3</v>
      </c>
      <c r="D6" s="23" t="n">
        <v>10</v>
      </c>
      <c r="E6" s="23" t="n">
        <v>5</v>
      </c>
      <c r="F6" s="23" t="inlineStr"/>
    </row>
    <row r="7">
      <c r="A7" s="23" t="inlineStr">
        <is>
          <t>AA</t>
        </is>
      </c>
      <c r="B7" s="23" t="n">
        <v>10</v>
      </c>
      <c r="C7" s="23" t="n">
        <v>5</v>
      </c>
      <c r="D7" s="23" t="n">
        <v>18</v>
      </c>
      <c r="E7" s="23" t="n">
        <v>10</v>
      </c>
      <c r="F7" s="23" t="inlineStr"/>
    </row>
    <row r="8">
      <c r="A8" s="23" t="inlineStr">
        <is>
          <t>AA-</t>
        </is>
      </c>
      <c r="B8" s="23" t="n">
        <v>15</v>
      </c>
      <c r="C8" s="23" t="n">
        <v>8</v>
      </c>
      <c r="D8" s="23" t="n">
        <v>25</v>
      </c>
      <c r="E8" s="23" t="n">
        <v>15</v>
      </c>
      <c r="F8" s="23" t="inlineStr"/>
    </row>
    <row r="9">
      <c r="A9" s="23" t="inlineStr">
        <is>
          <t>A+</t>
        </is>
      </c>
      <c r="B9" s="23" t="n">
        <v>22</v>
      </c>
      <c r="C9" s="23" t="n">
        <v>12</v>
      </c>
      <c r="D9" s="23" t="n">
        <v>35</v>
      </c>
      <c r="E9" s="23" t="n">
        <v>22</v>
      </c>
      <c r="F9" s="23" t="inlineStr"/>
    </row>
    <row r="10">
      <c r="A10" s="23" t="inlineStr">
        <is>
          <t>A</t>
        </is>
      </c>
      <c r="B10" s="23" t="n">
        <v>30</v>
      </c>
      <c r="C10" s="23" t="n">
        <v>18</v>
      </c>
      <c r="D10" s="23" t="n">
        <v>50</v>
      </c>
      <c r="E10" s="23" t="n">
        <v>30</v>
      </c>
      <c r="F10" s="23" t="inlineStr"/>
    </row>
    <row r="11">
      <c r="A11" s="23" t="inlineStr">
        <is>
          <t>A-</t>
        </is>
      </c>
      <c r="B11" s="23" t="n">
        <v>42</v>
      </c>
      <c r="C11" s="23" t="n">
        <v>28</v>
      </c>
      <c r="D11" s="23" t="n">
        <v>70</v>
      </c>
      <c r="E11" s="23" t="n">
        <v>42</v>
      </c>
      <c r="F11" s="23" t="inlineStr"/>
    </row>
    <row r="12">
      <c r="A12" s="23" t="inlineStr">
        <is>
          <t>BBB+</t>
        </is>
      </c>
      <c r="B12" s="23" t="n">
        <v>60</v>
      </c>
      <c r="C12" s="23" t="n">
        <v>40</v>
      </c>
      <c r="D12" s="23" t="n">
        <v>100</v>
      </c>
      <c r="E12" s="23" t="n">
        <v>60</v>
      </c>
      <c r="F12" s="23" t="inlineStr"/>
    </row>
    <row r="15">
      <c r="A15" s="3" t="inlineStr">
        <is>
          <t>SECTOR SPREADS (bps, additive to credit)</t>
        </is>
      </c>
    </row>
    <row r="16">
      <c r="A16" s="19" t="inlineStr">
        <is>
          <t>Rating</t>
        </is>
      </c>
      <c r="B16" s="19" t="inlineStr">
        <is>
          <t>Typical</t>
        </is>
      </c>
      <c r="C16" s="19" t="inlineStr">
        <is>
          <t>Tight</t>
        </is>
      </c>
      <c r="D16" s="19" t="inlineStr">
        <is>
          <t>Wide</t>
        </is>
      </c>
      <c r="E16" s="19" t="inlineStr">
        <is>
          <t>Current</t>
        </is>
      </c>
      <c r="F16" s="19" t="inlineStr">
        <is>
          <t>Notes</t>
        </is>
      </c>
    </row>
    <row r="17">
      <c r="A17" s="23" t="inlineStr">
        <is>
          <t>GO</t>
        </is>
      </c>
      <c r="B17" s="23" t="n">
        <v>0</v>
      </c>
      <c r="C17" s="23" t="n">
        <v>0</v>
      </c>
      <c r="D17" s="23" t="n">
        <v>0</v>
      </c>
      <c r="E17" s="23" t="n">
        <v>0</v>
      </c>
      <c r="F17" s="23" t="inlineStr">
        <is>
          <t>Tightest</t>
        </is>
      </c>
    </row>
    <row r="18">
      <c r="A18" s="23" t="inlineStr">
        <is>
          <t>Water/Sewer</t>
        </is>
      </c>
      <c r="B18" s="23" t="n">
        <v>3</v>
      </c>
      <c r="C18" s="23" t="n">
        <v>0</v>
      </c>
      <c r="D18" s="23" t="n">
        <v>8</v>
      </c>
      <c r="E18" s="23" t="n">
        <v>3</v>
      </c>
      <c r="F18" s="23" t="inlineStr">
        <is>
          <t>Essential</t>
        </is>
      </c>
    </row>
    <row r="19">
      <c r="A19" s="23" t="inlineStr">
        <is>
          <t>Electric</t>
        </is>
      </c>
      <c r="B19" s="23" t="n">
        <v>5</v>
      </c>
      <c r="C19" s="23" t="n">
        <v>2</v>
      </c>
      <c r="D19" s="23" t="n">
        <v>12</v>
      </c>
      <c r="E19" s="23" t="n">
        <v>5</v>
      </c>
      <c r="F19" s="23" t="inlineStr"/>
    </row>
    <row r="20">
      <c r="A20" s="23" t="inlineStr">
        <is>
          <t>Higher Ed</t>
        </is>
      </c>
      <c r="B20" s="23" t="n">
        <v>8</v>
      </c>
      <c r="C20" s="23" t="n">
        <v>3</v>
      </c>
      <c r="D20" s="23" t="n">
        <v>18</v>
      </c>
      <c r="E20" s="23" t="n">
        <v>8</v>
      </c>
      <c r="F20" s="23" t="inlineStr"/>
    </row>
    <row r="21">
      <c r="A21" s="23" t="inlineStr">
        <is>
          <t>Toll Road</t>
        </is>
      </c>
      <c r="B21" s="23" t="n">
        <v>12</v>
      </c>
      <c r="C21" s="23" t="n">
        <v>5</v>
      </c>
      <c r="D21" s="23" t="n">
        <v>25</v>
      </c>
      <c r="E21" s="23" t="n">
        <v>12</v>
      </c>
      <c r="F21" s="23" t="inlineStr"/>
    </row>
    <row r="22">
      <c r="A22" s="23" t="inlineStr">
        <is>
          <t>Airport</t>
        </is>
      </c>
      <c r="B22" s="23" t="n">
        <v>15</v>
      </c>
      <c r="C22" s="23" t="n">
        <v>8</v>
      </c>
      <c r="D22" s="23" t="n">
        <v>30</v>
      </c>
      <c r="E22" s="23" t="n">
        <v>15</v>
      </c>
      <c r="F22" s="23" t="inlineStr"/>
    </row>
    <row r="23">
      <c r="A23" s="23" t="inlineStr">
        <is>
          <t>Hospital</t>
        </is>
      </c>
      <c r="B23" s="23" t="n">
        <v>20</v>
      </c>
      <c r="C23" s="23" t="n">
        <v>10</v>
      </c>
      <c r="D23" s="23" t="n">
        <v>45</v>
      </c>
      <c r="E23" s="23" t="n">
        <v>20</v>
      </c>
      <c r="F23" s="23" t="inlineStr">
        <is>
          <t>Volatile</t>
        </is>
      </c>
    </row>
    <row r="24">
      <c r="A24" s="23" t="inlineStr">
        <is>
          <t>Housing</t>
        </is>
      </c>
      <c r="B24" s="23" t="n">
        <v>25</v>
      </c>
      <c r="C24" s="23" t="n">
        <v>15</v>
      </c>
      <c r="D24" s="23" t="n">
        <v>50</v>
      </c>
      <c r="E24" s="23" t="n">
        <v>25</v>
      </c>
      <c r="F24" s="23" t="inlineStr"/>
    </row>
    <row r="25">
      <c r="A25" s="23" t="inlineStr">
        <is>
          <t>IDB</t>
        </is>
      </c>
      <c r="B25" s="23" t="n">
        <v>30</v>
      </c>
      <c r="C25" s="23" t="n">
        <v>18</v>
      </c>
      <c r="D25" s="23" t="n">
        <v>60</v>
      </c>
      <c r="E25" s="23" t="n">
        <v>30</v>
      </c>
      <c r="F25" s="23" t="inlineStr">
        <is>
          <t>Private credit</t>
        </is>
      </c>
    </row>
    <row r="28">
      <c r="A28" s="3" t="inlineStr">
        <is>
          <t>STATE CONSIDERATIONS</t>
        </is>
      </c>
    </row>
    <row r="29">
      <c r="A29" t="inlineStr">
        <is>
          <t>High-tax state bonds (NY, CA, NJ) trade tighter due to tax demand</t>
        </is>
      </c>
    </row>
    <row r="30">
      <c r="A30" t="inlineStr">
        <is>
          <t>Low-tax / no-tax state bonds (TX, FL) trade wider</t>
        </is>
      </c>
    </row>
    <row r="31">
      <c r="A31" t="inlineStr">
        <is>
          <t>PR/territory bonds - significant credit spread, check restructuring status</t>
        </is>
      </c>
    </row>
  </sheetData>
  <mergeCells count="4">
    <mergeCell ref="A3:F3"/>
    <mergeCell ref="A1:F1"/>
    <mergeCell ref="A28:F2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2026-01-13T03:03:47Z</dcterms:created>
  <dcterms:modified xsi:type="dcterms:W3CDTF">2026-01-13T03:03:47Z</dcterms:modified>
</cp:coreProperties>
</file>