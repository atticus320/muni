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WIC Pricing Model" sheetId="1" state="visible" r:id="rId1"/>
    <sheet name="Scenario Analysis" sheetId="2" state="visible" r:id="rId2"/>
    <sheet name="Assumptions" sheetId="3" state="visible" r:id="rId3"/>
    <sheet name="Historical Spreads" sheetId="4" state="visible" r:id="rId4"/>
    <sheet name="Quick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</font>
    <font>
      <i val="1"/>
      <color rgb="00666666"/>
    </font>
    <font>
      <b val="1"/>
      <sz val="12"/>
    </font>
    <font>
      <b val="1"/>
      <sz val="14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5" borderId="1" pivotButton="0" quotePrefix="0" xfId="0"/>
    <xf numFmtId="164" fontId="0" fillId="5" borderId="1" pivotButton="0" quotePrefix="0" xfId="0"/>
    <xf numFmtId="164" fontId="0" fillId="4" borderId="1" pivotButton="0" quotePrefix="0" xfId="0"/>
    <xf numFmtId="0" fontId="4" fillId="6" borderId="0" pivotButton="0" quotePrefix="0" xfId="0"/>
    <xf numFmtId="0" fontId="0" fillId="6" borderId="1" pivotButton="0" quotePrefix="0" xfId="0"/>
    <xf numFmtId="0" fontId="4" fillId="7" borderId="1" pivotButton="0" quotePrefix="0" xfId="0"/>
    <xf numFmtId="0" fontId="6" fillId="7" borderId="1" pivotButton="0" quotePrefix="0" xfId="0"/>
    <xf numFmtId="0" fontId="7" fillId="7" borderId="1" pivotButton="0" quotePrefix="0" xfId="0"/>
    <xf numFmtId="0" fontId="8" fillId="2" borderId="0" applyAlignment="1" pivotButton="0" quotePrefix="0" xfId="0">
      <alignment horizontal="center"/>
    </xf>
    <xf numFmtId="0" fontId="0" fillId="7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18" customWidth="1" min="4" max="4"/>
    <col width="15" customWidth="1" min="5" max="5"/>
    <col width="35" customWidth="1" min="6" max="6"/>
    <col width="18" customWidth="1" min="7" max="7"/>
    <col width="18" customWidth="1" min="8" max="8"/>
  </cols>
  <sheetData>
    <row r="1">
      <c r="A1" s="1" t="inlineStr">
        <is>
          <t>MUNICIPAL BOND BWIC PRICING MODEL - PROFESSIONAL EDITION</t>
        </is>
      </c>
    </row>
    <row r="2">
      <c r="A2" s="2" t="inlineStr">
        <is>
          <t>Model Date: 2026-01-13 | AAA MMD Benchmark | 30/360 Day Count | Semi-Annual</t>
        </is>
      </c>
    </row>
    <row r="4">
      <c r="A4" s="3" t="inlineStr">
        <is>
          <t>SECTION 1: BOND IDENTIFICATION &amp; BLOOMBERG DATA</t>
        </is>
      </c>
    </row>
    <row r="5">
      <c r="A5" s="4" t="inlineStr">
        <is>
          <t>CUSIP (Enter Here)</t>
        </is>
      </c>
      <c r="B5" s="5" t="inlineStr">
        <is>
          <t>64971WBJ5</t>
        </is>
      </c>
      <c r="C5" s="6" t="inlineStr">
        <is>
          <t>← PASTE CUSIP HERE</t>
        </is>
      </c>
    </row>
    <row r="6">
      <c r="A6" s="4" t="inlineStr">
        <is>
          <t>Issuer / Description</t>
        </is>
      </c>
      <c r="B6" s="7" t="inlineStr"/>
      <c r="C6" s="6" t="inlineStr">
        <is>
          <t>← Auto from Bloomberg</t>
        </is>
      </c>
    </row>
    <row r="7">
      <c r="A7" s="4" t="inlineStr">
        <is>
          <t>Security Type</t>
        </is>
      </c>
      <c r="B7" s="7" t="inlineStr">
        <is>
          <t>GO</t>
        </is>
      </c>
      <c r="C7" s="6" t="inlineStr">
        <is>
          <t>GO / Revenue / Hospital / IDB</t>
        </is>
      </c>
    </row>
    <row r="8">
      <c r="A8" s="4" t="inlineStr">
        <is>
          <t>S&amp;P Rating</t>
        </is>
      </c>
      <c r="B8" s="7" t="inlineStr">
        <is>
          <t>AA</t>
        </is>
      </c>
      <c r="C8" s="6" t="inlineStr">
        <is>
          <t>AAA to D or NR</t>
        </is>
      </c>
    </row>
    <row r="9">
      <c r="A9" s="4" t="inlineStr">
        <is>
          <t>Moody's Rating</t>
        </is>
      </c>
      <c r="B9" s="7" t="inlineStr">
        <is>
          <t>Aa2</t>
        </is>
      </c>
      <c r="C9" s="6" t="inlineStr">
        <is>
          <t>Aaa to D or NR</t>
        </is>
      </c>
    </row>
    <row r="10">
      <c r="A10" s="4" t="inlineStr">
        <is>
          <t>State</t>
        </is>
      </c>
      <c r="B10" s="7" t="inlineStr">
        <is>
          <t>NY</t>
        </is>
      </c>
      <c r="C10" s="6" t="inlineStr">
        <is>
          <t>State code</t>
        </is>
      </c>
    </row>
    <row r="11">
      <c r="A11" s="4" t="inlineStr">
        <is>
          <t>Coupon (%)</t>
        </is>
      </c>
      <c r="B11" s="7" t="n">
        <v>5</v>
      </c>
      <c r="C11" s="6" t="inlineStr">
        <is>
          <t>Annual coupon rate</t>
        </is>
      </c>
    </row>
    <row r="12">
      <c r="A12" s="4" t="inlineStr">
        <is>
          <t>Maturity Date</t>
        </is>
      </c>
      <c r="B12" s="8" t="n">
        <v>49491</v>
      </c>
      <c r="C12" s="6" t="inlineStr">
        <is>
          <t>Final maturity</t>
        </is>
      </c>
    </row>
    <row r="13">
      <c r="A13" s="4" t="inlineStr">
        <is>
          <t>First Call Date</t>
        </is>
      </c>
      <c r="B13" s="8" t="n">
        <v>47665</v>
      </c>
      <c r="C13" s="6" t="inlineStr">
        <is>
          <t>Next call date (blank if bullet)</t>
        </is>
      </c>
    </row>
    <row r="14">
      <c r="A14" s="4" t="inlineStr">
        <is>
          <t>Call Price</t>
        </is>
      </c>
      <c r="B14" s="7" t="n">
        <v>100</v>
      </c>
      <c r="C14" s="6" t="inlineStr">
        <is>
          <t>Call redemption price</t>
        </is>
      </c>
    </row>
    <row r="15">
      <c r="A15" s="4" t="inlineStr">
        <is>
          <t>Total Issue Size ($MM)</t>
        </is>
      </c>
      <c r="B15" s="7" t="n">
        <v>150</v>
      </c>
      <c r="C15" s="6" t="inlineStr">
        <is>
          <t>Outstanding amount</t>
        </is>
      </c>
    </row>
    <row r="16">
      <c r="A16" s="4" t="inlineStr">
        <is>
          <t>Par Amount ($)</t>
        </is>
      </c>
      <c r="B16" s="5" t="n">
        <v>1000000</v>
      </c>
      <c r="C16" s="6" t="inlineStr">
        <is>
          <t>← YOUR BID SIZE</t>
        </is>
      </c>
    </row>
    <row r="17">
      <c r="A17" s="4" t="inlineStr">
        <is>
          <t>Settlement Date</t>
        </is>
      </c>
      <c r="B17" s="9" t="n">
        <v>46044</v>
      </c>
      <c r="C17" s="6" t="inlineStr">
        <is>
          <t>← SETTLEMENT DATE</t>
        </is>
      </c>
    </row>
    <row r="19">
      <c r="A19" s="3" t="inlineStr">
        <is>
          <t>SECTION 2: MARKET CURVE LEVELS</t>
        </is>
      </c>
    </row>
    <row r="20">
      <c r="A20" t="inlineStr">
        <is>
          <t>AAA MMD Yield (%)</t>
        </is>
      </c>
      <c r="B20" s="5" t="n">
        <v>3.5</v>
      </c>
      <c r="C20" s="6" t="inlineStr">
        <is>
          <t>← MATCH MATURITY ON MMD CURVE</t>
        </is>
      </c>
    </row>
    <row r="21">
      <c r="A21" t="inlineStr">
        <is>
          <t>Bloomberg BVAL Yield (%)</t>
        </is>
      </c>
      <c r="B21" s="7" t="n">
        <v>3.85</v>
      </c>
      <c r="C21" s="6" t="inlineStr">
        <is>
          <t>BVAL mid-market</t>
        </is>
      </c>
    </row>
    <row r="22">
      <c r="A22" t="inlineStr">
        <is>
          <t>ICE EVAL Yield (%)</t>
        </is>
      </c>
      <c r="B22" s="7" t="n">
        <v>3.9</v>
      </c>
      <c r="C22" s="6" t="inlineStr">
        <is>
          <t>ICE evaluated price</t>
        </is>
      </c>
    </row>
    <row r="23">
      <c r="A23" t="inlineStr">
        <is>
          <t>Last TRACE Trade Yield (%)</t>
        </is>
      </c>
      <c r="B23" s="7" t="n">
        <v>3.82</v>
      </c>
      <c r="C23" s="6" t="inlineStr">
        <is>
          <t>Most recent trade</t>
        </is>
      </c>
    </row>
    <row r="24">
      <c r="A24" t="inlineStr">
        <is>
          <t>Last Trade Date</t>
        </is>
      </c>
      <c r="B24" s="8" t="n">
        <v>46032</v>
      </c>
      <c r="C24" s="6" t="inlineStr">
        <is>
          <t>Trade timestamp</t>
        </is>
      </c>
    </row>
    <row r="25">
      <c r="A25" t="inlineStr">
        <is>
          <t>Market Regime</t>
        </is>
      </c>
      <c r="B25" s="5" t="inlineStr">
        <is>
          <t>Neutral</t>
        </is>
      </c>
      <c r="C25" s="6" t="inlineStr">
        <is>
          <t>Strong / Neutral / Weak / Crisis</t>
        </is>
      </c>
    </row>
    <row r="27">
      <c r="A27" s="3" t="inlineStr">
        <is>
          <t>SECTION 3: CONCESSION ENGINE (Auto-Calculated)</t>
        </is>
      </c>
    </row>
    <row r="28">
      <c r="A28" s="10" t="inlineStr">
        <is>
          <t>Component</t>
        </is>
      </c>
      <c r="B28" s="10" t="inlineStr">
        <is>
          <t>Concession (bps)</t>
        </is>
      </c>
      <c r="C28" s="10" t="inlineStr">
        <is>
          <t>Logic / Notes</t>
        </is>
      </c>
    </row>
    <row r="29">
      <c r="A29" t="inlineStr">
        <is>
          <t>Credit Spread</t>
        </is>
      </c>
      <c r="B29" s="11">
        <f>IFS(B8="AAA",0,B8="AA+",5,B8="AA",8,B8="AA-",12,B8="A+",18,B8="A",25,B8="A-",35,B8="BBB+",50,B8="BBB",75,B8="NR",40,TRUE,25)</f>
        <v/>
      </c>
      <c r="C29" t="inlineStr">
        <is>
          <t>Rating-based spread vs AAA benchmark</t>
        </is>
      </c>
    </row>
    <row r="30">
      <c r="A30" t="inlineStr">
        <is>
          <t>Sector Spread</t>
        </is>
      </c>
      <c r="B30" s="11">
        <f>IFS(B7="GO",0,B7="Essential",2,B7="Higher Ed",5,B7="Transport",8,B7="Hospital",15,B7="Healthcare",15,B7="Housing",20,B7="IDB",25,B7="Revenue",5,TRUE,10)</f>
        <v/>
      </c>
      <c r="C30" t="inlineStr">
        <is>
          <t>Sector risk premium</t>
        </is>
      </c>
    </row>
    <row r="31">
      <c r="A31" t="inlineStr">
        <is>
          <t>Coupon Adjustment</t>
        </is>
      </c>
      <c r="B31" s="11">
        <f>IF(B11&gt;=5,5,IF(B11&gt;=4,2,IF(B11&gt;=3,5,12)))</f>
        <v/>
      </c>
      <c r="C31" t="inlineStr">
        <is>
          <t>Premium/discount coupon adjustment</t>
        </is>
      </c>
    </row>
    <row r="32">
      <c r="A32" t="inlineStr">
        <is>
          <t>Call Risk</t>
        </is>
      </c>
      <c r="B32" s="11">
        <f>IF(B13="",0,IF((B13-B17)/365&lt;2,8,IF((B13-B17)/365&lt;5,4,IF((B13-B17)/365&lt;10,2,1))))</f>
        <v/>
      </c>
      <c r="C32" t="inlineStr">
        <is>
          <t>Call optionality premium</t>
        </is>
      </c>
    </row>
    <row r="33">
      <c r="A33" t="inlineStr">
        <is>
          <t>Issue Size Liquidity</t>
        </is>
      </c>
      <c r="B33" s="11">
        <f>IF(B15&gt;500,0,IF(B15&gt;200,2,IF(B15&gt;100,5,IF(B15&gt;50,8,15))))</f>
        <v/>
      </c>
      <c r="C33" t="inlineStr">
        <is>
          <t>Liquidity discount for small issues</t>
        </is>
      </c>
    </row>
    <row r="34">
      <c r="A34" t="inlineStr">
        <is>
          <t>Trade Size</t>
        </is>
      </c>
      <c r="B34" s="11">
        <f>IF(B16&lt;100000,5,IF(B16&lt;1000000,0,IF(B16&lt;3000000,3,8)))</f>
        <v/>
      </c>
      <c r="C34" t="inlineStr">
        <is>
          <t>Position risk for odd-lot/jumbo</t>
        </is>
      </c>
    </row>
    <row r="35">
      <c r="A35" t="inlineStr">
        <is>
          <t>Market Regime</t>
        </is>
      </c>
      <c r="B35" s="11">
        <f>IFS(B25="Strong",-3,B25="Neutral",0,B25="Weak",8,B25="Crisis",20,TRUE,0)</f>
        <v/>
      </c>
      <c r="C35" t="inlineStr">
        <is>
          <t>Market condition adjustment</t>
        </is>
      </c>
    </row>
    <row r="36">
      <c r="A36" t="inlineStr">
        <is>
          <t>TOTAL CONCESSION</t>
        </is>
      </c>
      <c r="B36" s="12">
        <f>SUM(B29:B35)</f>
        <v/>
      </c>
      <c r="C36" t="inlineStr">
        <is>
          <t>Sum of all concession factors</t>
        </is>
      </c>
    </row>
    <row r="38">
      <c r="A38" s="3" t="inlineStr">
        <is>
          <t>SECTION 4: YIELD FRAMEWORK</t>
        </is>
      </c>
    </row>
    <row r="39">
      <c r="A39" t="inlineStr">
        <is>
          <t>Fair Value Yield (MMD + Concession)</t>
        </is>
      </c>
      <c r="B39" s="11">
        <f>B20+(B36/100)</f>
        <v/>
      </c>
      <c r="C39" t="inlineStr">
        <is>
          <t>AAA MMD + total spread</t>
        </is>
      </c>
    </row>
    <row r="40">
      <c r="A40" t="inlineStr">
        <is>
          <t>BVAL - Cushion (2 bps)</t>
        </is>
      </c>
      <c r="B40" s="11">
        <f>B21-0.02</f>
        <v/>
      </c>
      <c r="C40" t="inlineStr">
        <is>
          <t>BVAL with safety margin</t>
        </is>
      </c>
    </row>
    <row r="41">
      <c r="A41" t="inlineStr">
        <is>
          <t>Inside Target (BVAL - 5 bps)</t>
        </is>
      </c>
      <c r="B41" s="11">
        <f>B21-0.05</f>
        <v/>
      </c>
      <c r="C41" t="inlineStr">
        <is>
          <t>Aggressive target</t>
        </is>
      </c>
    </row>
    <row r="42">
      <c r="A42" t="inlineStr">
        <is>
          <t>ICE Floor</t>
        </is>
      </c>
      <c r="B42" s="11">
        <f>B22</f>
        <v/>
      </c>
      <c r="C42" t="inlineStr">
        <is>
          <t>Liquidity floor</t>
        </is>
      </c>
    </row>
    <row r="43">
      <c r="A43" t="inlineStr">
        <is>
          <t>RECOMMENDED BID YIELD (%)</t>
        </is>
      </c>
      <c r="B43" s="13">
        <f>MAX(B39,MIN(B40,B21))</f>
        <v/>
      </c>
      <c r="C43" t="inlineStr">
        <is>
          <t>Best of: Fair Value or BVAL-cushion</t>
        </is>
      </c>
    </row>
    <row r="44">
      <c r="A44" t="inlineStr">
        <is>
          <t>Yield to Maturity</t>
        </is>
      </c>
      <c r="B44" s="11">
        <f>B43</f>
        <v/>
      </c>
    </row>
    <row r="45">
      <c r="A45" t="inlineStr">
        <is>
          <t>Yield to Call</t>
        </is>
      </c>
      <c r="B45" s="11">
        <f>IF(B13="","N/A",B43+0.10)</f>
        <v/>
      </c>
      <c r="C45" t="inlineStr">
        <is>
          <t>Approx YTC (add ~10bps for call option)</t>
        </is>
      </c>
    </row>
    <row r="46">
      <c r="A46" t="inlineStr">
        <is>
          <t>YIELD TO WORST</t>
        </is>
      </c>
      <c r="B46" s="13">
        <f>IF(B13="",B44,MAX(B44,B45))</f>
        <v/>
      </c>
      <c r="C46" t="inlineStr">
        <is>
          <t>Conservative yield assumption</t>
        </is>
      </c>
    </row>
    <row r="48">
      <c r="A48" s="3" t="inlineStr">
        <is>
          <t>SECTION 5: PRICE CALCULATION (30/360 Semi-Annual)</t>
        </is>
      </c>
    </row>
    <row r="49">
      <c r="A49" t="inlineStr">
        <is>
          <t>Years to Maturity</t>
        </is>
      </c>
      <c r="B49" s="11">
        <f>(B12-B17)/365</f>
        <v/>
      </c>
    </row>
    <row r="50">
      <c r="A50" t="inlineStr">
        <is>
          <t>Periods to Maturity</t>
        </is>
      </c>
      <c r="B50" s="11">
        <f>B49*2</f>
        <v/>
      </c>
    </row>
    <row r="51">
      <c r="A51" t="inlineStr">
        <is>
          <t>Period Yield (semi-annual)</t>
        </is>
      </c>
      <c r="B51" s="11">
        <f>B43/2</f>
        <v/>
      </c>
    </row>
    <row r="52">
      <c r="A52" t="inlineStr">
        <is>
          <t>Period Coupon</t>
        </is>
      </c>
      <c r="B52" s="11">
        <f>B11/2</f>
        <v/>
      </c>
    </row>
    <row r="53">
      <c r="A53" t="inlineStr">
        <is>
          <t>CLEAN PRICE</t>
        </is>
      </c>
      <c r="B53" s="13">
        <f>((B52/100)*(1-(1+B51/100)^(-B50))/(B51/100)+(100*(1+B51/100)^(-B50)))</f>
        <v/>
      </c>
      <c r="C53" t="inlineStr">
        <is>
          <t>PV of cash flows</t>
        </is>
      </c>
    </row>
    <row r="54">
      <c r="A54" t="inlineStr">
        <is>
          <t>Days Since Last Coupon</t>
        </is>
      </c>
      <c r="B54" s="11">
        <f>MOD(B17-DATE(YEAR(B12),MONTH(B12)-6,DAY(B12)),180)</f>
        <v/>
      </c>
    </row>
    <row r="55">
      <c r="A55" t="inlineStr">
        <is>
          <t>Accrued Interest</t>
        </is>
      </c>
      <c r="B55" s="11">
        <f>(B11/100)*(B54/360)*100</f>
        <v/>
      </c>
    </row>
    <row r="56">
      <c r="A56" t="inlineStr">
        <is>
          <t>FULL (DIRTY) PRICE</t>
        </is>
      </c>
      <c r="B56" s="13">
        <f>B53+B55</f>
        <v/>
      </c>
    </row>
    <row r="57">
      <c r="A57" t="inlineStr">
        <is>
          <t>ALL-IN DOLLAR BID</t>
        </is>
      </c>
      <c r="B57" s="14">
        <f>B16*(B56/100)</f>
        <v/>
      </c>
      <c r="C57" t="inlineStr">
        <is>
          <t>Your dollar bid amount</t>
        </is>
      </c>
    </row>
    <row r="59">
      <c r="A59" s="3" t="inlineStr">
        <is>
          <t>SECTION 6: RISK ANALYTICS</t>
        </is>
      </c>
    </row>
    <row r="60">
      <c r="A60" t="inlineStr">
        <is>
          <t>Modified Duration (approx)</t>
        </is>
      </c>
      <c r="B60" s="11">
        <f>(B49*(1-0.3*(B11/100)))/(1+B43/200)</f>
        <v/>
      </c>
      <c r="C60" t="inlineStr">
        <is>
          <t>Yield sensitivity (years)</t>
        </is>
      </c>
    </row>
    <row r="61">
      <c r="A61" t="inlineStr">
        <is>
          <t>DV01 ($ per 1bp)</t>
        </is>
      </c>
      <c r="B61" s="11">
        <f>B16*(B60/100)*0.01</f>
        <v/>
      </c>
      <c r="C61" t="inlineStr">
        <is>
          <t>Dollar risk per basis point</t>
        </is>
      </c>
    </row>
    <row r="62">
      <c r="A62" t="inlineStr">
        <is>
          <t>Convexity (approx)</t>
        </is>
      </c>
      <c r="B62" s="11">
        <f>B60^2/100</f>
        <v/>
      </c>
      <c r="C62" t="inlineStr">
        <is>
          <t>Second-order yield sensitivity</t>
        </is>
      </c>
    </row>
    <row r="63">
      <c r="A63" t="inlineStr">
        <is>
          <t>Spread DV01 ($)</t>
        </is>
      </c>
      <c r="B63" s="11">
        <f>B61</f>
        <v/>
      </c>
      <c r="C63" t="inlineStr">
        <is>
          <t>Spread risk exposure</t>
        </is>
      </c>
    </row>
    <row r="65">
      <c r="A65" s="3" t="inlineStr">
        <is>
          <t>SECTION 7: TRADING SIGNALS &amp; ALERTS</t>
        </is>
      </c>
    </row>
    <row r="66">
      <c r="A66" t="inlineStr">
        <is>
          <t>Spread vs AAA MMD (bps)</t>
        </is>
      </c>
      <c r="B66" s="11">
        <f>(B43-B20)*100</f>
        <v/>
      </c>
    </row>
    <row r="67">
      <c r="A67" t="inlineStr">
        <is>
          <t>Bid vs BVAL (bps)</t>
        </is>
      </c>
      <c r="B67" s="11">
        <f>(B43-B21)*100</f>
        <v/>
      </c>
      <c r="C67" t="inlineStr">
        <is>
          <t>Negative = bidding through BVAL</t>
        </is>
      </c>
    </row>
    <row r="68">
      <c r="A68" t="inlineStr">
        <is>
          <t>BVAL vs ICE Spread (bps)</t>
        </is>
      </c>
      <c r="B68" s="11">
        <f>(B22-B21)*100</f>
        <v/>
      </c>
    </row>
    <row r="69">
      <c r="A69" t="inlineStr">
        <is>
          <t>Call Protection Check</t>
        </is>
      </c>
      <c r="B69" s="11">
        <f>IF(B13="","Bullet",IF((B13-B17)/365&lt;1,"NEAR CALL - CAUTION",IF((B13-B17)/365&lt;3,"Limited protection","OK")))</f>
        <v/>
      </c>
    </row>
    <row r="70">
      <c r="A70" t="inlineStr">
        <is>
          <t>Concession Sanity Check</t>
        </is>
      </c>
      <c r="B70" s="11">
        <f>IF(B36&gt;150,"WARNING: High concession",IF(B36&gt;100,"Elevated spread","Normal"))</f>
        <v/>
      </c>
    </row>
    <row r="71">
      <c r="A71" t="inlineStr">
        <is>
          <t>Stale Trade Alert</t>
        </is>
      </c>
      <c r="B71" s="11">
        <f>IF((B17-B24)&gt;30,"STALE - Last trade &gt;30 days",IF((B17-B24)&gt;14,"Aging trade data","Recent trade"))</f>
        <v/>
      </c>
    </row>
  </sheetData>
  <mergeCells count="9">
    <mergeCell ref="A19:C19"/>
    <mergeCell ref="A59:C59"/>
    <mergeCell ref="A2:H2"/>
    <mergeCell ref="A27:C27"/>
    <mergeCell ref="A65:C65"/>
    <mergeCell ref="A1:H1"/>
    <mergeCell ref="A4:C4"/>
    <mergeCell ref="A48:C48"/>
    <mergeCell ref="A38:C38"/>
  </mergeCells>
  <dataValidations count="1">
    <dataValidation sqref="B25" showDropDown="0" showInputMessage="0" showErrorMessage="0" allowBlank="0" type="list">
      <formula1>"Strong,Neutral,Weak,Crisis"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5" t="inlineStr">
        <is>
          <t>YIELD &amp; PRICE SENSITIVITY ANALYSIS</t>
        </is>
      </c>
    </row>
    <row r="3">
      <c r="A3" s="3" t="inlineStr">
        <is>
          <t>YIELD SCENARIOS</t>
        </is>
      </c>
    </row>
    <row r="4">
      <c r="A4" t="inlineStr">
        <is>
          <t>Yield Change (bps)</t>
        </is>
      </c>
      <c r="B4" s="10" t="n">
        <v>-25</v>
      </c>
      <c r="C4" s="10" t="n">
        <v>-10</v>
      </c>
      <c r="D4" s="10" t="n">
        <v>0</v>
      </c>
      <c r="E4" s="10" t="n">
        <v>10</v>
      </c>
      <c r="F4" s="10" t="n">
        <v>25</v>
      </c>
      <c r="G4" s="10" t="n">
        <v>50</v>
      </c>
    </row>
    <row r="5">
      <c r="A5" t="inlineStr">
        <is>
          <t>New Yield (%)</t>
        </is>
      </c>
      <c r="B5">
        <f>'BWIC Pricing Model'!B43+-25/100</f>
        <v/>
      </c>
      <c r="C5">
        <f>'BWIC Pricing Model'!B43+-10/100</f>
        <v/>
      </c>
      <c r="D5">
        <f>'BWIC Pricing Model'!B43+0/100</f>
        <v/>
      </c>
      <c r="E5">
        <f>'BWIC Pricing Model'!B43+10/100</f>
        <v/>
      </c>
      <c r="F5">
        <f>'BWIC Pricing Model'!B43+25/100</f>
        <v/>
      </c>
      <c r="G5">
        <f>'BWIC Pricing Model'!B43+50/100</f>
        <v/>
      </c>
    </row>
    <row r="6">
      <c r="A6" t="inlineStr">
        <is>
          <t>Approx Price</t>
        </is>
      </c>
      <c r="B6">
        <f>'BWIC Pricing Model'!B53*(1-'BWIC Pricing Model'!B60*-25/10000)</f>
        <v/>
      </c>
      <c r="C6">
        <f>'BWIC Pricing Model'!B53*(1-'BWIC Pricing Model'!B60*-10/10000)</f>
        <v/>
      </c>
      <c r="D6">
        <f>'BWIC Pricing Model'!B53*(1-'BWIC Pricing Model'!B60*0/10000)</f>
        <v/>
      </c>
      <c r="E6">
        <f>'BWIC Pricing Model'!B53*(1-'BWIC Pricing Model'!B60*10/10000)</f>
        <v/>
      </c>
      <c r="F6">
        <f>'BWIC Pricing Model'!B53*(1-'BWIC Pricing Model'!B60*25/10000)</f>
        <v/>
      </c>
      <c r="G6">
        <f>'BWIC Pricing Model'!B53*(1-'BWIC Pricing Model'!B60*50/10000)</f>
        <v/>
      </c>
    </row>
    <row r="7">
      <c r="A7" t="inlineStr">
        <is>
          <t>P&amp;L ($)</t>
        </is>
      </c>
      <c r="B7" s="16">
        <f>'BWIC Pricing Model'!B16*(B6-'BWIC Pricing Model'!B53)/100</f>
        <v/>
      </c>
      <c r="C7" s="16">
        <f>'BWIC Pricing Model'!B16*(C6-'BWIC Pricing Model'!B53)/100</f>
        <v/>
      </c>
      <c r="D7" s="17">
        <f>'BWIC Pricing Model'!B16*(D6-'BWIC Pricing Model'!B53)/100</f>
        <v/>
      </c>
      <c r="E7" s="16">
        <f>'BWIC Pricing Model'!B16*(E6-'BWIC Pricing Model'!B53)/100</f>
        <v/>
      </c>
      <c r="F7" s="16">
        <f>'BWIC Pricing Model'!B16*(F6-'BWIC Pricing Model'!B53)/100</f>
        <v/>
      </c>
      <c r="G7" s="16">
        <f>'BWIC Pricing Model'!B16*(G6-'BWIC Pricing Model'!B53)/100</f>
        <v/>
      </c>
    </row>
    <row r="10">
      <c r="A10" s="3" t="inlineStr">
        <is>
          <t>SPREAD SCENARIOS</t>
        </is>
      </c>
    </row>
    <row r="11">
      <c r="A11" t="inlineStr">
        <is>
          <t>Spread Change (bps)</t>
        </is>
      </c>
      <c r="B11" s="10" t="n">
        <v>-20</v>
      </c>
      <c r="C11" s="10" t="n">
        <v>-10</v>
      </c>
      <c r="D11" s="10" t="n">
        <v>0</v>
      </c>
      <c r="E11" s="10" t="n">
        <v>10</v>
      </c>
      <c r="F11" s="10" t="n">
        <v>20</v>
      </c>
      <c r="G11" s="10" t="n">
        <v>30</v>
      </c>
    </row>
    <row r="12">
      <c r="A12" t="inlineStr">
        <is>
          <t>New Spread to MMD</t>
        </is>
      </c>
      <c r="B12">
        <f>'BWIC Pricing Model'!B36+-20</f>
        <v/>
      </c>
      <c r="C12">
        <f>'BWIC Pricing Model'!B36+-10</f>
        <v/>
      </c>
      <c r="D12">
        <f>'BWIC Pricing Model'!B36+0</f>
        <v/>
      </c>
      <c r="E12">
        <f>'BWIC Pricing Model'!B36+10</f>
        <v/>
      </c>
      <c r="F12">
        <f>'BWIC Pricing Model'!B36+20</f>
        <v/>
      </c>
      <c r="G12">
        <f>'BWIC Pricing Model'!B36+30</f>
        <v/>
      </c>
    </row>
    <row r="13">
      <c r="A13" t="inlineStr">
        <is>
          <t>Spread P&amp;L ($)</t>
        </is>
      </c>
      <c r="B13" s="16">
        <f>-'BWIC Pricing Model'!B61*-20</f>
        <v/>
      </c>
      <c r="C13" s="16">
        <f>-'BWIC Pricing Model'!B61*-10</f>
        <v/>
      </c>
      <c r="D13" s="17">
        <f>-'BWIC Pricing Model'!B61*0</f>
        <v/>
      </c>
      <c r="E13" s="16">
        <f>-'BWIC Pricing Model'!B61*10</f>
        <v/>
      </c>
      <c r="F13" s="16">
        <f>-'BWIC Pricing Model'!B61*20</f>
        <v/>
      </c>
      <c r="G13" s="16">
        <f>-'BWIC Pricing Model'!B61*30</f>
        <v/>
      </c>
    </row>
    <row r="16">
      <c r="A16" s="3" t="inlineStr">
        <is>
          <t>BID COVERAGE ANALYSIS</t>
        </is>
      </c>
    </row>
    <row r="17">
      <c r="A17" t="inlineStr">
        <is>
          <t>Your Bid Yield</t>
        </is>
      </c>
      <c r="B17">
        <f>'BWIC Pricing Model'!B43</f>
        <v/>
      </c>
    </row>
    <row r="18">
      <c r="A18" t="inlineStr">
        <is>
          <t>Cover Yield Assumption</t>
        </is>
      </c>
      <c r="B18">
        <f>'BWIC Pricing Model'!B43+0.05</f>
        <v/>
      </c>
      <c r="C18" t="inlineStr">
        <is>
          <t>Assume 5bps back</t>
        </is>
      </c>
    </row>
    <row r="19">
      <c r="A19" t="inlineStr">
        <is>
          <t>Miss Amount (bps)</t>
        </is>
      </c>
      <c r="B19">
        <f>(B18-B17)*100</f>
        <v/>
      </c>
    </row>
    <row r="20">
      <c r="A20" t="inlineStr">
        <is>
          <t>Opportunity Cost ($)</t>
        </is>
      </c>
      <c r="B20">
        <f>'BWIC Pricing Model'!B61*B19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40" customWidth="1" min="4" max="4"/>
    <col width="20" customWidth="1" min="5" max="5"/>
  </cols>
  <sheetData>
    <row r="1">
      <c r="A1" s="15" t="inlineStr">
        <is>
          <t>CONCESSION FRAMEWORK &amp; PRICING GUARDRAILS</t>
        </is>
      </c>
    </row>
    <row r="3">
      <c r="A3" s="3" t="inlineStr">
        <is>
          <t>CREDIT QUALITY SPREADS</t>
        </is>
      </c>
    </row>
    <row r="4">
      <c r="A4" s="10" t="inlineStr">
        <is>
          <t>Rating</t>
        </is>
      </c>
      <c r="B4" s="10" t="inlineStr">
        <is>
          <t>S&amp;P</t>
        </is>
      </c>
      <c r="C4" s="10" t="inlineStr">
        <is>
          <t>Moody's</t>
        </is>
      </c>
      <c r="D4" s="10" t="inlineStr">
        <is>
          <t>Spread (bps)</t>
        </is>
      </c>
      <c r="E4" s="10" t="inlineStr">
        <is>
          <t>Rationale</t>
        </is>
      </c>
    </row>
    <row r="5">
      <c r="A5" t="inlineStr">
        <is>
          <t>Prime</t>
        </is>
      </c>
      <c r="B5" t="inlineStr">
        <is>
          <t>AAA</t>
        </is>
      </c>
      <c r="C5" t="inlineStr">
        <is>
          <t>Aaa</t>
        </is>
      </c>
      <c r="D5" t="n">
        <v>0</v>
      </c>
      <c r="E5" t="inlineStr">
        <is>
          <t>Benchmark - no spread</t>
        </is>
      </c>
    </row>
    <row r="6">
      <c r="A6" t="inlineStr">
        <is>
          <t>High Grade</t>
        </is>
      </c>
      <c r="B6" t="inlineStr">
        <is>
          <t>AA+</t>
        </is>
      </c>
      <c r="C6" t="inlineStr">
        <is>
          <t>Aa1</t>
        </is>
      </c>
      <c r="D6" t="n">
        <v>5</v>
      </c>
      <c r="E6" t="inlineStr">
        <is>
          <t>Minimal credit risk</t>
        </is>
      </c>
    </row>
    <row r="7">
      <c r="A7" t="inlineStr">
        <is>
          <t>High Grade</t>
        </is>
      </c>
      <c r="B7" t="inlineStr">
        <is>
          <t>AA</t>
        </is>
      </c>
      <c r="C7" t="inlineStr">
        <is>
          <t>Aa2</t>
        </is>
      </c>
      <c r="D7" t="n">
        <v>8</v>
      </c>
      <c r="E7" t="inlineStr">
        <is>
          <t>Standard high grade</t>
        </is>
      </c>
    </row>
    <row r="8">
      <c r="A8" t="inlineStr">
        <is>
          <t>High Grade</t>
        </is>
      </c>
      <c r="B8" t="inlineStr">
        <is>
          <t>AA-</t>
        </is>
      </c>
      <c r="C8" t="inlineStr">
        <is>
          <t>Aa3</t>
        </is>
      </c>
      <c r="D8" t="n">
        <v>12</v>
      </c>
      <c r="E8" t="inlineStr">
        <is>
          <t>Lower high grade</t>
        </is>
      </c>
    </row>
    <row r="9">
      <c r="A9" t="inlineStr">
        <is>
          <t>Upper Medium</t>
        </is>
      </c>
      <c r="B9" t="inlineStr">
        <is>
          <t>A+</t>
        </is>
      </c>
      <c r="C9" t="inlineStr">
        <is>
          <t>A1</t>
        </is>
      </c>
      <c r="D9" t="n">
        <v>18</v>
      </c>
      <c r="E9" t="inlineStr">
        <is>
          <t>Upper single-A</t>
        </is>
      </c>
    </row>
    <row r="10">
      <c r="A10" t="inlineStr">
        <is>
          <t>Upper Medium</t>
        </is>
      </c>
      <c r="B10" t="inlineStr">
        <is>
          <t>A</t>
        </is>
      </c>
      <c r="C10" t="inlineStr">
        <is>
          <t>A2</t>
        </is>
      </c>
      <c r="D10" t="n">
        <v>25</v>
      </c>
      <c r="E10" t="inlineStr">
        <is>
          <t>Core single-A</t>
        </is>
      </c>
    </row>
    <row r="11">
      <c r="A11" t="inlineStr">
        <is>
          <t>Upper Medium</t>
        </is>
      </c>
      <c r="B11" t="inlineStr">
        <is>
          <t>A-</t>
        </is>
      </c>
      <c r="C11" t="inlineStr">
        <is>
          <t>A3</t>
        </is>
      </c>
      <c r="D11" t="n">
        <v>35</v>
      </c>
      <c r="E11" t="inlineStr">
        <is>
          <t>Lower single-A</t>
        </is>
      </c>
    </row>
    <row r="12">
      <c r="A12" t="inlineStr">
        <is>
          <t>Lower Medium</t>
        </is>
      </c>
      <c r="B12" t="inlineStr">
        <is>
          <t>BBB+</t>
        </is>
      </c>
      <c r="C12" t="inlineStr">
        <is>
          <t>Baa1</t>
        </is>
      </c>
      <c r="D12" t="n">
        <v>50</v>
      </c>
      <c r="E12" t="inlineStr">
        <is>
          <t>Upper investment grade</t>
        </is>
      </c>
    </row>
    <row r="13">
      <c r="A13" t="inlineStr">
        <is>
          <t>Lower Medium</t>
        </is>
      </c>
      <c r="B13" t="inlineStr">
        <is>
          <t>BBB</t>
        </is>
      </c>
      <c r="C13" t="inlineStr">
        <is>
          <t>Baa2</t>
        </is>
      </c>
      <c r="D13" t="n">
        <v>75</v>
      </c>
      <c r="E13" t="inlineStr">
        <is>
          <t>Near IG threshold</t>
        </is>
      </c>
    </row>
    <row r="14">
      <c r="A14" t="inlineStr">
        <is>
          <t>Not Rated</t>
        </is>
      </c>
      <c r="B14" t="inlineStr">
        <is>
          <t>NR</t>
        </is>
      </c>
      <c r="C14" t="inlineStr">
        <is>
          <t>NR</t>
        </is>
      </c>
      <c r="D14" t="n">
        <v>40</v>
      </c>
      <c r="E14" t="inlineStr">
        <is>
          <t>Liquidity discount</t>
        </is>
      </c>
    </row>
    <row r="17">
      <c r="A17" s="3" t="inlineStr">
        <is>
          <t>SECTOR RISK PREMIUMS</t>
        </is>
      </c>
    </row>
    <row r="18">
      <c r="A18" s="10" t="inlineStr">
        <is>
          <t>Sector</t>
        </is>
      </c>
      <c r="B18" s="10" t="inlineStr">
        <is>
          <t>Code</t>
        </is>
      </c>
      <c r="C18" s="10" t="inlineStr">
        <is>
          <t>Spread (bps)</t>
        </is>
      </c>
      <c r="D18" s="10" t="inlineStr">
        <is>
          <t>Risk Profile</t>
        </is>
      </c>
      <c r="E18" s="10" t="inlineStr">
        <is>
          <t>Examples</t>
        </is>
      </c>
    </row>
    <row r="19">
      <c r="A19" t="inlineStr">
        <is>
          <t>General Obligation</t>
        </is>
      </c>
      <c r="B19" t="inlineStr">
        <is>
          <t>GO</t>
        </is>
      </c>
      <c r="C19" t="n">
        <v>0</v>
      </c>
      <c r="D19" t="inlineStr">
        <is>
          <t>Lowest</t>
        </is>
      </c>
      <c r="E19" t="inlineStr">
        <is>
          <t>Full faith &amp; credit</t>
        </is>
      </c>
    </row>
    <row r="20">
      <c r="A20" t="inlineStr">
        <is>
          <t>Essential Services</t>
        </is>
      </c>
      <c r="B20" t="inlineStr">
        <is>
          <t>Essential</t>
        </is>
      </c>
      <c r="C20" t="n">
        <v>2</v>
      </c>
      <c r="D20" t="inlineStr">
        <is>
          <t>Very Low</t>
        </is>
      </c>
      <c r="E20" t="inlineStr">
        <is>
          <t>Water, sewer, electric</t>
        </is>
      </c>
    </row>
    <row r="21">
      <c r="A21" t="inlineStr">
        <is>
          <t>Higher Education</t>
        </is>
      </c>
      <c r="B21" t="inlineStr">
        <is>
          <t>Higher Ed</t>
        </is>
      </c>
      <c r="C21" t="n">
        <v>5</v>
      </c>
      <c r="D21" t="inlineStr">
        <is>
          <t>Low</t>
        </is>
      </c>
      <c r="E21" t="inlineStr">
        <is>
          <t>State universities</t>
        </is>
      </c>
    </row>
    <row r="22">
      <c r="A22" t="inlineStr">
        <is>
          <t>Transportation</t>
        </is>
      </c>
      <c r="B22" t="inlineStr">
        <is>
          <t>Transport</t>
        </is>
      </c>
      <c r="C22" t="n">
        <v>8</v>
      </c>
      <c r="D22" t="inlineStr">
        <is>
          <t>Moderate</t>
        </is>
      </c>
      <c r="E22" t="inlineStr">
        <is>
          <t>Toll roads, airports</t>
        </is>
      </c>
    </row>
    <row r="23">
      <c r="A23" t="inlineStr">
        <is>
          <t>Healthcare</t>
        </is>
      </c>
      <c r="B23" t="inlineStr">
        <is>
          <t>Hospital</t>
        </is>
      </c>
      <c r="C23" t="n">
        <v>15</v>
      </c>
      <c r="D23" t="inlineStr">
        <is>
          <t>Elevated</t>
        </is>
      </c>
      <c r="E23" t="inlineStr">
        <is>
          <t>Hospital systems</t>
        </is>
      </c>
    </row>
    <row r="24">
      <c r="A24" t="inlineStr">
        <is>
          <t>Housing</t>
        </is>
      </c>
      <c r="B24" t="inlineStr">
        <is>
          <t>Housing</t>
        </is>
      </c>
      <c r="C24" t="n">
        <v>20</v>
      </c>
      <c r="D24" t="inlineStr">
        <is>
          <t>Higher</t>
        </is>
      </c>
      <c r="E24" t="inlineStr">
        <is>
          <t>Affordable housing</t>
        </is>
      </c>
    </row>
    <row r="25">
      <c r="A25" t="inlineStr">
        <is>
          <t>Industrial Dev</t>
        </is>
      </c>
      <c r="B25" t="inlineStr">
        <is>
          <t>IDB</t>
        </is>
      </c>
      <c r="C25" t="n">
        <v>25</v>
      </c>
      <c r="D25" t="inlineStr">
        <is>
          <t>High</t>
        </is>
      </c>
      <c r="E25" t="inlineStr">
        <is>
          <t>Private activity</t>
        </is>
      </c>
    </row>
    <row r="26">
      <c r="A26" t="inlineStr">
        <is>
          <t>Revenue (Other)</t>
        </is>
      </c>
      <c r="B26" t="inlineStr">
        <is>
          <t>Revenue</t>
        </is>
      </c>
      <c r="C26" t="n">
        <v>5</v>
      </c>
      <c r="D26" t="inlineStr">
        <is>
          <t>Low-Moderate</t>
        </is>
      </c>
      <c r="E26" t="inlineStr">
        <is>
          <t>Misc revenue bonds</t>
        </is>
      </c>
    </row>
    <row r="29">
      <c r="A29" s="3" t="inlineStr">
        <is>
          <t>PRICING GUARDRAILS</t>
        </is>
      </c>
    </row>
    <row r="30">
      <c r="A30" s="10" t="inlineStr">
        <is>
          <t>Rule</t>
        </is>
      </c>
      <c r="B30" s="10" t="inlineStr">
        <is>
          <t>Value</t>
        </is>
      </c>
      <c r="C30" s="10" t="inlineStr">
        <is>
          <t>Unit</t>
        </is>
      </c>
      <c r="D30" s="10" t="inlineStr">
        <is>
          <t>Purpose</t>
        </is>
      </c>
    </row>
    <row r="31">
      <c r="A31" t="inlineStr">
        <is>
          <t>BVAL Cushion</t>
        </is>
      </c>
      <c r="B31" t="n">
        <v>2</v>
      </c>
      <c r="C31" t="inlineStr">
        <is>
          <t>bps</t>
        </is>
      </c>
      <c r="D31" t="inlineStr">
        <is>
          <t>Never bid through BVAL</t>
        </is>
      </c>
    </row>
    <row r="32">
      <c r="A32" t="inlineStr">
        <is>
          <t>Max Concession Warning</t>
        </is>
      </c>
      <c r="B32" t="n">
        <v>150</v>
      </c>
      <c r="C32" t="inlineStr">
        <is>
          <t>bps</t>
        </is>
      </c>
      <c r="D32" t="inlineStr">
        <is>
          <t>Sanity check on total spread</t>
        </is>
      </c>
    </row>
    <row r="33">
      <c r="A33" t="inlineStr">
        <is>
          <t>Stale Trade Threshold</t>
        </is>
      </c>
      <c r="B33" t="n">
        <v>30</v>
      </c>
      <c r="C33" t="inlineStr">
        <is>
          <t>days</t>
        </is>
      </c>
      <c r="D33" t="inlineStr">
        <is>
          <t>Question old trade data</t>
        </is>
      </c>
    </row>
    <row r="34">
      <c r="A34" t="inlineStr">
        <is>
          <t>Near Call Warning</t>
        </is>
      </c>
      <c r="B34" t="n">
        <v>1</v>
      </c>
      <c r="C34" t="inlineStr">
        <is>
          <t>year</t>
        </is>
      </c>
      <c r="D34" t="inlineStr">
        <is>
          <t>Flag imminent call risk</t>
        </is>
      </c>
    </row>
    <row r="35">
      <c r="A35" t="inlineStr">
        <is>
          <t>Min Call Protection</t>
        </is>
      </c>
      <c r="B35" t="n">
        <v>3</v>
      </c>
      <c r="C35" t="inlineStr">
        <is>
          <t>years</t>
        </is>
      </c>
      <c r="D35" t="inlineStr">
        <is>
          <t>Prefer longer protection</t>
        </is>
      </c>
    </row>
    <row r="36">
      <c r="A36" t="inlineStr">
        <is>
          <t>Odd Lot Threshold</t>
        </is>
      </c>
      <c r="B36" t="n">
        <v>100000</v>
      </c>
      <c r="C36" t="inlineStr">
        <is>
          <t>$</t>
        </is>
      </c>
      <c r="D36" t="inlineStr">
        <is>
          <t>Below = liquidity discount</t>
        </is>
      </c>
    </row>
    <row r="37">
      <c r="A37" t="inlineStr">
        <is>
          <t>Jumbo Block Threshold</t>
        </is>
      </c>
      <c r="B37" t="n">
        <v>3000000</v>
      </c>
      <c r="C37" t="inlineStr">
        <is>
          <t>$</t>
        </is>
      </c>
      <c r="D37" t="inlineStr">
        <is>
          <t>Above = position risk</t>
        </is>
      </c>
    </row>
  </sheetData>
  <mergeCells count="4">
    <mergeCell ref="A29:E29"/>
    <mergeCell ref="A1:E1"/>
    <mergeCell ref="A17:E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5" t="inlineStr">
        <is>
          <t>HISTORICAL SPREAD REFERENCE (bps vs AAA MMD)</t>
        </is>
      </c>
    </row>
    <row r="3">
      <c r="A3" s="3" t="inlineStr">
        <is>
          <t>AA-RATED GENERAL OBLIGATIONS</t>
        </is>
      </c>
    </row>
    <row r="4">
      <c r="A4" s="10" t="inlineStr">
        <is>
          <t>Period</t>
        </is>
      </c>
      <c r="B4" s="10" t="inlineStr">
        <is>
          <t>10Y Avg</t>
        </is>
      </c>
      <c r="C4" s="10" t="inlineStr">
        <is>
          <t>Current</t>
        </is>
      </c>
      <c r="D4" s="10" t="inlineStr">
        <is>
          <t>Tight</t>
        </is>
      </c>
      <c r="E4" s="10" t="inlineStr">
        <is>
          <t>Wide</t>
        </is>
      </c>
      <c r="F4" s="10" t="inlineStr">
        <is>
          <t>Percentile</t>
        </is>
      </c>
    </row>
    <row r="5">
      <c r="A5" t="inlineStr">
        <is>
          <t>2024 YTD</t>
        </is>
      </c>
      <c r="B5" t="n">
        <v>12</v>
      </c>
      <c r="C5" t="n">
        <v>15</v>
      </c>
      <c r="D5" t="n">
        <v>8</v>
      </c>
      <c r="E5" t="n">
        <v>25</v>
      </c>
      <c r="F5" t="inlineStr">
        <is>
          <t>65th</t>
        </is>
      </c>
    </row>
    <row r="6">
      <c r="A6" t="inlineStr">
        <is>
          <t>2023</t>
        </is>
      </c>
      <c r="B6" t="n">
        <v>18</v>
      </c>
      <c r="C6" t="n">
        <v>15</v>
      </c>
      <c r="D6" t="n">
        <v>10</v>
      </c>
      <c r="E6" t="n">
        <v>35</v>
      </c>
      <c r="F6" t="inlineStr">
        <is>
          <t>40th</t>
        </is>
      </c>
    </row>
    <row r="7">
      <c r="A7" t="inlineStr">
        <is>
          <t>2022</t>
        </is>
      </c>
      <c r="B7" t="n">
        <v>25</v>
      </c>
      <c r="C7" t="n">
        <v>15</v>
      </c>
      <c r="D7" t="n">
        <v>12</v>
      </c>
      <c r="E7" t="n">
        <v>50</v>
      </c>
      <c r="F7" t="inlineStr">
        <is>
          <t>30th</t>
        </is>
      </c>
    </row>
    <row r="8">
      <c r="A8" t="inlineStr">
        <is>
          <t>5-Year</t>
        </is>
      </c>
      <c r="B8" t="n">
        <v>15</v>
      </c>
      <c r="C8" t="n">
        <v>15</v>
      </c>
      <c r="D8" t="n">
        <v>5</v>
      </c>
      <c r="E8" t="n">
        <v>50</v>
      </c>
      <c r="F8" t="inlineStr">
        <is>
          <t>50th</t>
        </is>
      </c>
    </row>
    <row r="9">
      <c r="A9" t="inlineStr">
        <is>
          <t>10-Year</t>
        </is>
      </c>
      <c r="B9" t="n">
        <v>12</v>
      </c>
      <c r="C9" t="n">
        <v>15</v>
      </c>
      <c r="D9" t="n">
        <v>3</v>
      </c>
      <c r="E9" t="n">
        <v>75</v>
      </c>
      <c r="F9" t="inlineStr">
        <is>
          <t>60th</t>
        </is>
      </c>
    </row>
    <row r="12">
      <c r="A12" s="3" t="inlineStr">
        <is>
          <t>A-RATED HEALTHCARE</t>
        </is>
      </c>
    </row>
    <row r="13">
      <c r="A13" s="10" t="inlineStr">
        <is>
          <t>Period</t>
        </is>
      </c>
      <c r="B13" s="10" t="inlineStr">
        <is>
          <t>10Y Avg</t>
        </is>
      </c>
      <c r="C13" s="10" t="inlineStr">
        <is>
          <t>Current</t>
        </is>
      </c>
      <c r="D13" s="10" t="inlineStr">
        <is>
          <t>Tight</t>
        </is>
      </c>
      <c r="E13" s="10" t="inlineStr">
        <is>
          <t>Wide</t>
        </is>
      </c>
      <c r="F13" s="10" t="inlineStr">
        <is>
          <t>Percentile</t>
        </is>
      </c>
    </row>
    <row r="14">
      <c r="A14" t="inlineStr">
        <is>
          <t>2024 YTD</t>
        </is>
      </c>
      <c r="B14" t="n">
        <v>55</v>
      </c>
      <c r="C14" t="n">
        <v>60</v>
      </c>
      <c r="D14" t="n">
        <v>40</v>
      </c>
      <c r="E14" t="n">
        <v>85</v>
      </c>
      <c r="F14" t="inlineStr">
        <is>
          <t>60th</t>
        </is>
      </c>
    </row>
    <row r="15">
      <c r="A15" t="inlineStr">
        <is>
          <t>2023</t>
        </is>
      </c>
      <c r="B15" t="n">
        <v>65</v>
      </c>
      <c r="C15" t="n">
        <v>60</v>
      </c>
      <c r="D15" t="n">
        <v>45</v>
      </c>
      <c r="E15" t="n">
        <v>100</v>
      </c>
      <c r="F15" t="inlineStr">
        <is>
          <t>45th</t>
        </is>
      </c>
    </row>
    <row r="16">
      <c r="A16" t="inlineStr">
        <is>
          <t>2022</t>
        </is>
      </c>
      <c r="B16" t="n">
        <v>80</v>
      </c>
      <c r="C16" t="n">
        <v>60</v>
      </c>
      <c r="D16" t="n">
        <v>50</v>
      </c>
      <c r="E16" t="n">
        <v>150</v>
      </c>
      <c r="F16" t="inlineStr">
        <is>
          <t>35th</t>
        </is>
      </c>
    </row>
    <row r="17">
      <c r="A17" t="inlineStr">
        <is>
          <t>5-Year</t>
        </is>
      </c>
      <c r="B17" t="n">
        <v>60</v>
      </c>
      <c r="C17" t="n">
        <v>60</v>
      </c>
      <c r="D17" t="n">
        <v>35</v>
      </c>
      <c r="E17" t="n">
        <v>150</v>
      </c>
      <c r="F17" t="inlineStr">
        <is>
          <t>50th</t>
        </is>
      </c>
    </row>
    <row r="18">
      <c r="A18" t="inlineStr">
        <is>
          <t>10-Year</t>
        </is>
      </c>
      <c r="B18" t="n">
        <v>50</v>
      </c>
      <c r="C18" t="n">
        <v>60</v>
      </c>
      <c r="D18" t="n">
        <v>25</v>
      </c>
      <c r="E18" t="n">
        <v>200</v>
      </c>
      <c r="F18" t="inlineStr">
        <is>
          <t>55th</t>
        </is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5" t="inlineStr">
        <is>
          <t>BWIC BIDDING QUICK REFERENCE</t>
        </is>
      </c>
    </row>
    <row r="3">
      <c r="A3" s="3" t="inlineStr">
        <is>
          <t>BIDDING WORKFLOW</t>
        </is>
      </c>
    </row>
    <row r="4">
      <c r="A4" t="inlineStr">
        <is>
          <t>1. Enter CUSIP in B5 (yellow cell)</t>
        </is>
      </c>
    </row>
    <row r="5">
      <c r="A5" t="inlineStr">
        <is>
          <t>2. Verify Bloomberg auto-populated data (orange cells)</t>
        </is>
      </c>
    </row>
    <row r="6">
      <c r="A6" t="inlineStr">
        <is>
          <t>3. Enter AAA MMD yield matching bond's maturity</t>
        </is>
      </c>
    </row>
    <row r="7">
      <c r="A7" t="inlineStr">
        <is>
          <t>4. Enter your par amount (bid size)</t>
        </is>
      </c>
    </row>
    <row r="8">
      <c r="A8" t="inlineStr">
        <is>
          <t>5. Set settlement date</t>
        </is>
      </c>
    </row>
    <row r="9">
      <c r="A9" t="inlineStr">
        <is>
          <t>6. Select market regime (Strong/Neutral/Weak/Crisis)</t>
        </is>
      </c>
    </row>
    <row r="10">
      <c r="A10" t="inlineStr">
        <is>
          <t>7. Review concession breakdown (Section 3)</t>
        </is>
      </c>
    </row>
    <row r="11">
      <c r="A11" t="inlineStr">
        <is>
          <t>8. Check trading signals for warnings</t>
        </is>
      </c>
    </row>
    <row r="12">
      <c r="A12" t="inlineStr">
        <is>
          <t>9. Verify recommended bid yield and price</t>
        </is>
      </c>
    </row>
    <row r="13">
      <c r="A13" t="inlineStr">
        <is>
          <t>10. Submit bid at calculated dollar amount</t>
        </is>
      </c>
    </row>
    <row r="16">
      <c r="A16" s="3" t="inlineStr">
        <is>
          <t>KEY FORMULAS</t>
        </is>
      </c>
    </row>
    <row r="17">
      <c r="A17" s="4" t="inlineStr">
        <is>
          <t>Fair Value Yield</t>
        </is>
      </c>
      <c r="B17">
        <f> AAA MMD + Total Concession</f>
        <v/>
      </c>
    </row>
    <row r="18">
      <c r="A18" s="4" t="inlineStr">
        <is>
          <t>Total Concession</t>
        </is>
      </c>
      <c r="B18">
        <f> Credit + Sector + Coupon + Call + Size + Trade + Market</f>
        <v/>
      </c>
    </row>
    <row r="19">
      <c r="A19" s="4" t="inlineStr">
        <is>
          <t>Clean Price</t>
        </is>
      </c>
      <c r="B19">
        <f> PV of coupons + PV of principal</f>
        <v/>
      </c>
    </row>
    <row r="20">
      <c r="A20" s="4" t="inlineStr">
        <is>
          <t>Dirty Price</t>
        </is>
      </c>
      <c r="B20">
        <f> Clean Price + Accrued Interest</f>
        <v/>
      </c>
    </row>
    <row r="21">
      <c r="A21" s="4" t="inlineStr">
        <is>
          <t>Dollar Bid</t>
        </is>
      </c>
      <c r="B21">
        <f> Par Amount × (Dirty Price / 100)</f>
        <v/>
      </c>
    </row>
    <row r="22">
      <c r="A22" s="4" t="inlineStr">
        <is>
          <t>DV01</t>
        </is>
      </c>
      <c r="B22">
        <f> Par × Duration × 0.0001</f>
        <v/>
      </c>
    </row>
    <row r="23">
      <c r="A23" s="4" t="inlineStr">
        <is>
          <t>Spread P&amp;L</t>
        </is>
      </c>
      <c r="B23">
        <f> -DV01 × Spread Change (bps)</f>
        <v/>
      </c>
    </row>
    <row r="26">
      <c r="A26" s="3" t="inlineStr">
        <is>
          <t>COMMON PITFALLS</t>
        </is>
      </c>
    </row>
    <row r="27">
      <c r="A27" t="inlineStr">
        <is>
          <t>• Never bid through BVAL without strong justification</t>
        </is>
      </c>
    </row>
    <row r="28">
      <c r="A28" t="inlineStr">
        <is>
          <t>• Check call dates - near-call bonds trade differently</t>
        </is>
      </c>
    </row>
    <row r="29">
      <c r="A29" t="inlineStr">
        <is>
          <t>• Watch for stale TRACE data (&gt;30 days old)</t>
        </is>
      </c>
    </row>
    <row r="30">
      <c r="A30" t="inlineStr">
        <is>
          <t>• Small issues (&lt;$50MM) deserve extra liquidity concession</t>
        </is>
      </c>
    </row>
    <row r="31">
      <c r="A31" t="inlineStr">
        <is>
          <t>• Hospital/healthcare spreads are volatile - add cushion</t>
        </is>
      </c>
    </row>
    <row r="32">
      <c r="A32" t="inlineStr">
        <is>
          <t>• In weak markets, add defensive spread (8-20 bps)</t>
        </is>
      </c>
    </row>
    <row r="33">
      <c r="A33" t="inlineStr">
        <is>
          <t>• Verify settlement date for accurate accrued interest</t>
        </is>
      </c>
    </row>
  </sheetData>
  <mergeCells count="4">
    <mergeCell ref="A26:B26"/>
    <mergeCell ref="A3:B3"/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2026-01-13T02:16:35Z</dcterms:created>
  <dcterms:modified xsi:type="dcterms:W3CDTF">2026-01-13T02:16:35Z</dcterms:modified>
</cp:coreProperties>
</file>